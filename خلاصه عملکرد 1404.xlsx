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man Computer\Desktop\"/>
    </mc:Choice>
  </mc:AlternateContent>
  <xr:revisionPtr revIDLastSave="0" documentId="13_ncr:1_{EFF1D835-05B9-4BB6-B618-C5F83F7C8702}" xr6:coauthVersionLast="47" xr6:coauthVersionMax="47" xr10:uidLastSave="{00000000-0000-0000-0000-000000000000}"/>
  <bookViews>
    <workbookView xWindow="12000" yWindow="0" windowWidth="12000" windowHeight="12900" tabRatio="705" activeTab="1" xr2:uid="{B81BA411-FCD4-4EDD-8893-DA98F5248C9B}"/>
  </bookViews>
  <sheets>
    <sheet name="به تفکیک شیفت (2)" sheetId="11" r:id="rId1"/>
    <sheet name=" خلاصه عملکرد ماهانه" sheetId="2" r:id="rId2"/>
    <sheet name="Sheet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1" i="2" l="1"/>
  <c r="C96" i="2" l="1"/>
  <c r="C41" i="2" l="1"/>
  <c r="A7" i="11"/>
  <c r="B31" i="11"/>
  <c r="C31" i="11"/>
  <c r="D31" i="11"/>
  <c r="A24" i="11" l="1"/>
  <c r="A20" i="11"/>
  <c r="A4" i="11"/>
  <c r="A30" i="11" l="1"/>
  <c r="A29" i="11"/>
  <c r="A28" i="11"/>
  <c r="A27" i="11"/>
  <c r="A26" i="11"/>
  <c r="A25" i="11"/>
  <c r="A23" i="11"/>
  <c r="A22" i="11"/>
  <c r="A21" i="11"/>
  <c r="A19" i="11"/>
  <c r="A16" i="11"/>
  <c r="A15" i="11"/>
  <c r="A14" i="11"/>
  <c r="A13" i="11"/>
  <c r="A12" i="11"/>
  <c r="A11" i="11"/>
  <c r="A10" i="11"/>
  <c r="A9" i="11"/>
  <c r="A8" i="11"/>
  <c r="A6" i="11"/>
  <c r="A5" i="11"/>
  <c r="A31" i="11" l="1"/>
  <c r="D96" i="2" l="1"/>
  <c r="D41" i="2"/>
  <c r="E41" i="2"/>
  <c r="F96" i="2" l="1"/>
  <c r="F41" i="2" l="1"/>
</calcChain>
</file>

<file path=xl/sharedStrings.xml><?xml version="1.0" encoding="utf-8"?>
<sst xmlns="http://schemas.openxmlformats.org/spreadsheetml/2006/main" count="259" uniqueCount="116">
  <si>
    <t>خرداد</t>
  </si>
  <si>
    <t>شرح</t>
  </si>
  <si>
    <t>تولید</t>
  </si>
  <si>
    <t>تعداد روز کاری</t>
  </si>
  <si>
    <t>تعداد شیفت کاری</t>
  </si>
  <si>
    <t>درصد ضایعات برگشتی</t>
  </si>
  <si>
    <t>مصرف مواد</t>
  </si>
  <si>
    <t>کنترل کیفیت</t>
  </si>
  <si>
    <t>توقفات</t>
  </si>
  <si>
    <t xml:space="preserve">درصد تولید شمش استاندارد </t>
  </si>
  <si>
    <t>درصد شمش نرمال</t>
  </si>
  <si>
    <r>
      <t xml:space="preserve">مجموع کل توقفات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</si>
  <si>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توقفات تولیدی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</si>
  <si>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درصد شمش نرمال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</si>
  <si>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درصد تولید شمش استاندارد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</si>
  <si>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مصرف فروآلیاژ</t>
  </si>
  <si>
    <r>
      <rPr>
        <sz val="12"/>
        <rFont val="A  Mitra_1 (MRT)"/>
        <charset val="178"/>
      </rPr>
      <t xml:space="preserve">حداکثر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</si>
  <si>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کمترین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</si>
  <si>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>میانگین تولید روزانه</t>
    </r>
    <r>
      <rPr>
        <b/>
        <sz val="12"/>
        <rFont val="A  Mitra_1 (MRT)"/>
        <charset val="178"/>
      </rPr>
      <t xml:space="preserve">  </t>
    </r>
    <r>
      <rPr>
        <b/>
        <vertAlign val="superscript"/>
        <sz val="12"/>
        <rFont val="A  Mitra_1 (MRT)"/>
        <charset val="178"/>
      </rPr>
      <t>(Kg</t>
    </r>
    <r>
      <rPr>
        <b/>
        <sz val="12"/>
        <rFont val="A  Mitra_1 (MRT)"/>
        <charset val="178"/>
      </rPr>
      <t xml:space="preserve"> </t>
    </r>
    <r>
      <rPr>
        <b/>
        <vertAlign val="superscript"/>
        <sz val="12"/>
        <rFont val="A  Mitra_1 (MRT)"/>
        <charset val="178"/>
      </rPr>
      <t>)</t>
    </r>
  </si>
  <si>
    <r>
      <t xml:space="preserve">متوسط زمان ذوب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دقیقه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</si>
  <si>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کل ذوبها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</si>
  <si>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A</t>
  </si>
  <si>
    <t>B</t>
  </si>
  <si>
    <t>شیفت</t>
  </si>
  <si>
    <t>مجموع</t>
  </si>
  <si>
    <t>-</t>
  </si>
  <si>
    <t>مرداد</t>
  </si>
  <si>
    <t>تولید کوره : شیفت B</t>
  </si>
  <si>
    <t>تعداد شمش نرمال</t>
  </si>
  <si>
    <t xml:space="preserve">تعداد شمش استاندارد </t>
  </si>
  <si>
    <r>
      <t xml:space="preserve">تعداد کل ذوبها  </t>
    </r>
    <r>
      <rPr>
        <b/>
        <vertAlign val="superscript"/>
        <sz val="11"/>
        <rFont val="B Nazanin"/>
        <charset val="178"/>
      </rPr>
      <t>(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عدد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</si>
  <si>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t>شهریور</t>
  </si>
  <si>
    <t>تعداد ذوب ریخته گری ناقص (عدد)</t>
  </si>
  <si>
    <r>
      <t xml:space="preserve">تناژ ضایعات برگشتی  </t>
    </r>
    <r>
      <rPr>
        <b/>
        <vertAlign val="superscript"/>
        <sz val="11"/>
        <rFont val="B Nazanin"/>
        <charset val="178"/>
      </rPr>
      <t>(کیلوگرم)</t>
    </r>
  </si>
  <si>
    <t>مهر</t>
  </si>
  <si>
    <t>تولید کوره : شیفت C</t>
  </si>
  <si>
    <t>آبان</t>
  </si>
  <si>
    <t xml:space="preserve">تولید کوره : شیفت A   </t>
  </si>
  <si>
    <t>آذر</t>
  </si>
  <si>
    <r>
      <t xml:space="preserve">میزان کل ذوب ساخته شده  </t>
    </r>
    <r>
      <rPr>
        <b/>
        <vertAlign val="superscript"/>
        <sz val="11"/>
        <rFont val="B Nazanin"/>
        <charset val="178"/>
      </rPr>
      <t>(Kg)</t>
    </r>
  </si>
  <si>
    <t>تعداد ذوب برگشتی (عدد)</t>
  </si>
  <si>
    <t>تعداد ذوب تخلیه اضطراری (عدد)</t>
  </si>
  <si>
    <r>
      <t xml:space="preserve">تعداد ریخته گری کامل  </t>
    </r>
    <r>
      <rPr>
        <b/>
        <vertAlign val="superscript"/>
        <sz val="11"/>
        <rFont val="B Nazanin"/>
        <charset val="178"/>
      </rPr>
      <t>(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عدد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</si>
  <si>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t xml:space="preserve">تعداد  ذوب زینتر  </t>
    </r>
    <r>
      <rPr>
        <b/>
        <vertAlign val="superscript"/>
        <sz val="11"/>
        <rFont val="B Nazanin"/>
        <charset val="178"/>
      </rPr>
      <t>(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عدد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</si>
  <si>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t xml:space="preserve">میانگین تناژ تخلیه   </t>
    </r>
    <r>
      <rPr>
        <b/>
        <vertAlign val="superscript"/>
        <sz val="11"/>
        <rFont val="B Nazanin"/>
        <charset val="178"/>
      </rPr>
      <t>(Kg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</si>
  <si>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t xml:space="preserve">میانگین عمر نهایی بوته ها  </t>
    </r>
    <r>
      <rPr>
        <b/>
        <vertAlign val="superscript"/>
        <sz val="11"/>
        <rFont val="B Nazanin"/>
        <charset val="178"/>
      </rPr>
      <t>(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عدد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</si>
  <si>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t xml:space="preserve">توقفات تولیدی </t>
    </r>
    <r>
      <rPr>
        <b/>
        <vertAlign val="superscript"/>
        <sz val="11"/>
        <rFont val="B Nazanin"/>
        <charset val="178"/>
      </rPr>
      <t>(ساعت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</si>
  <si>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t xml:space="preserve">مجموع کل توقفات </t>
    </r>
    <r>
      <rPr>
        <b/>
        <vertAlign val="superscript"/>
        <sz val="11"/>
        <rFont val="B Nazanin"/>
        <charset val="178"/>
      </rPr>
      <t>(ساعت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</si>
  <si>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t xml:space="preserve">مقایسه مصرف انرژی الکتریکی ماهیانه </t>
  </si>
  <si>
    <t>عمر بوته ها</t>
  </si>
  <si>
    <r>
      <t xml:space="preserve">توقفات فنی </t>
    </r>
    <r>
      <rPr>
        <b/>
        <vertAlign val="superscript"/>
        <sz val="11"/>
        <rFont val="B Nazanin"/>
        <charset val="178"/>
      </rPr>
      <t>(ساعت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</si>
  <si>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t>دی</t>
  </si>
  <si>
    <r>
      <t xml:space="preserve">تعداد ذوب برگشتی </t>
    </r>
    <r>
      <rPr>
        <sz val="10"/>
        <color rgb="FF000000"/>
        <rFont val="B Nazanin"/>
        <charset val="178"/>
      </rPr>
      <t>(عدد)</t>
    </r>
  </si>
  <si>
    <r>
      <t xml:space="preserve">تناژ ضایعات برگشتی </t>
    </r>
    <r>
      <rPr>
        <sz val="10"/>
        <rFont val="B Nazanin"/>
        <charset val="178"/>
      </rPr>
      <t>(تن)</t>
    </r>
  </si>
  <si>
    <t>C</t>
  </si>
  <si>
    <r>
      <t xml:space="preserve">کندی ها  </t>
    </r>
    <r>
      <rPr>
        <sz val="8"/>
        <rFont val="A  Mitra_1 (MRT)"/>
        <charset val="178"/>
      </rPr>
      <t>(ساعت )</t>
    </r>
  </si>
  <si>
    <r>
      <rPr>
        <sz val="12"/>
        <rFont val="A  Mitra_1 (MRT)"/>
        <charset val="178"/>
      </rPr>
      <t xml:space="preserve">میزان کل ذوب ساخته شده  </t>
    </r>
    <r>
      <rPr>
        <sz val="8"/>
        <rFont val="A  Mitra_1 (MRT)"/>
        <charset val="178"/>
      </rPr>
      <t>(Kg)</t>
    </r>
  </si>
  <si>
    <r>
      <t xml:space="preserve">میزان کل تولید  </t>
    </r>
    <r>
      <rPr>
        <sz val="8"/>
        <rFont val="A  Mitra_1 (MRT)"/>
        <charset val="178"/>
      </rPr>
      <t>(Kg)</t>
    </r>
  </si>
  <si>
    <r>
      <t xml:space="preserve">تعداد  ذوب برگشتی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</si>
  <si>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با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</si>
  <si>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ذوب ریخته گری ناقص </t>
    </r>
    <r>
      <rPr>
        <sz val="8"/>
        <rFont val="A  Mitra_1 (MRT)"/>
        <charset val="178"/>
      </rPr>
      <t>(عدد)</t>
    </r>
  </si>
  <si>
    <r>
      <t xml:space="preserve">مدت زمان ریخته گری </t>
    </r>
    <r>
      <rPr>
        <sz val="8"/>
        <rFont val="B Nazanin"/>
        <charset val="178"/>
      </rPr>
      <t>(ساعت)</t>
    </r>
  </si>
  <si>
    <r>
      <t xml:space="preserve">تعداد  شمش استاندارد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</si>
  <si>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نرمال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</si>
  <si>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بدون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</si>
  <si>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زمان کارکرد کوره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</si>
  <si>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مقدار مصرف فرو سیلیکو منگنز  </t>
    </r>
    <r>
      <rPr>
        <sz val="6"/>
        <rFont val="A  Mitra_1 (MRT)"/>
        <charset val="178"/>
      </rPr>
      <t>(کیلوگرم)</t>
    </r>
  </si>
  <si>
    <r>
      <t xml:space="preserve">مقدار مصرف فرو سیلیس   </t>
    </r>
    <r>
      <rPr>
        <sz val="6"/>
        <rFont val="A  Mitra_1 (MRT)"/>
        <charset val="178"/>
      </rPr>
      <t>(کیلوگرم)</t>
    </r>
  </si>
  <si>
    <r>
      <t xml:space="preserve">مقدار مصرف کک  </t>
    </r>
    <r>
      <rPr>
        <sz val="6"/>
        <rFont val="A  Mitra_1 (MRT)"/>
        <charset val="178"/>
      </rPr>
      <t>(کیلوگرم)</t>
    </r>
  </si>
  <si>
    <r>
      <t xml:space="preserve">توقفات فنی </t>
    </r>
    <r>
      <rPr>
        <sz val="11"/>
        <rFont val="A  Mitra_1 (MRT)"/>
        <charset val="178"/>
      </rPr>
      <t>(تمام تجهیزات)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</si>
  <si>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.</t>
  </si>
  <si>
    <r>
      <t>مصرف به ازای هر تن تولید</t>
    </r>
    <r>
      <rPr>
        <sz val="11"/>
        <color rgb="FF000000"/>
        <rFont val="B Nazanin"/>
        <charset val="178"/>
      </rPr>
      <t>(KWH/T)</t>
    </r>
  </si>
  <si>
    <r>
      <t xml:space="preserve">میزان تولید </t>
    </r>
    <r>
      <rPr>
        <sz val="11"/>
        <color rgb="FF000000"/>
        <rFont val="B Nazanin"/>
        <charset val="178"/>
      </rPr>
      <t>(KG)</t>
    </r>
  </si>
  <si>
    <r>
      <t xml:space="preserve">برق مصرفی </t>
    </r>
    <r>
      <rPr>
        <sz val="11"/>
        <color rgb="FF000000"/>
        <rFont val="B Nazanin"/>
        <charset val="178"/>
      </rPr>
      <t>(KW/H)</t>
    </r>
  </si>
  <si>
    <r>
      <t xml:space="preserve">نرخ موفقیت ذوب </t>
    </r>
    <r>
      <rPr>
        <sz val="8"/>
        <color rgb="FF000000"/>
        <rFont val="B Nazanin"/>
        <charset val="178"/>
      </rPr>
      <t>(درصد)</t>
    </r>
  </si>
  <si>
    <r>
      <t xml:space="preserve">نرخ تبدیل ریخته گری </t>
    </r>
    <r>
      <rPr>
        <sz val="8"/>
        <color rgb="FF000000"/>
        <rFont val="B Nazanin"/>
        <charset val="178"/>
      </rPr>
      <t>(درصد)</t>
    </r>
  </si>
  <si>
    <r>
      <t xml:space="preserve">ظرفیت اسمی تولید ماه </t>
    </r>
    <r>
      <rPr>
        <sz val="10"/>
        <color rgb="FF000000"/>
        <rFont val="B Nazanin"/>
        <charset val="178"/>
      </rPr>
      <t>(تن)</t>
    </r>
  </si>
  <si>
    <r>
      <t xml:space="preserve">ظرفیت تولید واقعی </t>
    </r>
    <r>
      <rPr>
        <sz val="10"/>
        <color rgb="FF000000"/>
        <rFont val="B Nazanin"/>
        <charset val="178"/>
      </rPr>
      <t>(تن)</t>
    </r>
  </si>
  <si>
    <r>
      <t xml:space="preserve">تحقق ظرفیت </t>
    </r>
    <r>
      <rPr>
        <sz val="10"/>
        <color rgb="FF000000"/>
        <rFont val="B Nazanin"/>
        <charset val="178"/>
      </rPr>
      <t>(درصد)</t>
    </r>
  </si>
  <si>
    <r>
      <t xml:space="preserve">تعداد روز کاری </t>
    </r>
    <r>
      <rPr>
        <sz val="10"/>
        <rFont val="B Nazanin"/>
        <charset val="178"/>
      </rPr>
      <t>(عدد)</t>
    </r>
  </si>
  <si>
    <r>
      <t xml:space="preserve">متوسط زمان ریخته گری </t>
    </r>
    <r>
      <rPr>
        <sz val="9"/>
        <rFont val="B Nazanin"/>
        <charset val="178"/>
      </rPr>
      <t>(ساعت)</t>
    </r>
  </si>
  <si>
    <r>
      <t xml:space="preserve">درصد ضایعات برگشتی </t>
    </r>
    <r>
      <rPr>
        <sz val="8"/>
        <rFont val="B Nazanin"/>
        <charset val="178"/>
      </rPr>
      <t>( درصد )</t>
    </r>
  </si>
  <si>
    <t xml:space="preserve"> خلاصه عملکرد تولید سال 1404</t>
  </si>
  <si>
    <t>بهمن</t>
  </si>
  <si>
    <t>اسفند</t>
  </si>
  <si>
    <t>فروردین</t>
  </si>
  <si>
    <t>اردیبهشت</t>
  </si>
  <si>
    <r>
      <rPr>
        <b/>
        <sz val="12"/>
        <rFont val="B Nazanin"/>
        <charset val="178"/>
      </rPr>
      <t>میزان کل ذوب ساخته شده</t>
    </r>
    <r>
      <rPr>
        <b/>
        <sz val="11"/>
        <rFont val="B Nazanin"/>
        <charset val="178"/>
      </rPr>
      <t xml:space="preserve">  </t>
    </r>
    <r>
      <rPr>
        <b/>
        <vertAlign val="superscript"/>
        <sz val="11"/>
        <rFont val="B Nazanin"/>
        <charset val="178"/>
      </rPr>
      <t>(Kg)</t>
    </r>
  </si>
  <si>
    <r>
      <rPr>
        <b/>
        <sz val="12"/>
        <rFont val="B Nazanin"/>
        <charset val="178"/>
      </rPr>
      <t>میزان کل تولید</t>
    </r>
    <r>
      <rPr>
        <b/>
        <sz val="11"/>
        <rFont val="B Nazanin"/>
        <charset val="178"/>
      </rPr>
      <t xml:space="preserve">  </t>
    </r>
    <r>
      <rPr>
        <b/>
        <vertAlign val="superscript"/>
        <sz val="11"/>
        <rFont val="B Nazanin"/>
        <charset val="178"/>
      </rPr>
      <t>(Kg)</t>
    </r>
  </si>
  <si>
    <r>
      <rPr>
        <b/>
        <sz val="12"/>
        <rFont val="B Nazanin"/>
        <charset val="178"/>
      </rPr>
      <t>تعداد ذوب تخلیه اضطراری</t>
    </r>
    <r>
      <rPr>
        <b/>
        <sz val="11"/>
        <rFont val="B Nazanin"/>
        <charset val="178"/>
      </rPr>
      <t xml:space="preserve"> </t>
    </r>
    <r>
      <rPr>
        <sz val="9"/>
        <rFont val="B Nazanin"/>
        <charset val="178"/>
      </rPr>
      <t>(عدد)</t>
    </r>
  </si>
  <si>
    <r>
      <rPr>
        <b/>
        <sz val="12"/>
        <rFont val="B Nazanin"/>
        <charset val="178"/>
      </rPr>
      <t>تعداد کل ذوبها</t>
    </r>
    <r>
      <rPr>
        <b/>
        <sz val="11"/>
        <rFont val="B Nazanin"/>
        <charset val="178"/>
      </rPr>
      <t xml:space="preserve">  </t>
    </r>
    <r>
      <rPr>
        <b/>
        <vertAlign val="superscript"/>
        <sz val="11"/>
        <rFont val="B Nazanin"/>
        <charset val="178"/>
      </rPr>
      <t>(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عدد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</si>
  <si>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>تعداد ذوب ریخته گری ناقص</t>
    </r>
    <r>
      <rPr>
        <b/>
        <sz val="8"/>
        <rFont val="B Nazanin"/>
        <charset val="178"/>
      </rPr>
      <t xml:space="preserve"> (عدد)</t>
    </r>
  </si>
  <si>
    <r>
      <rPr>
        <b/>
        <sz val="12"/>
        <rFont val="B Nazanin"/>
        <charset val="178"/>
      </rPr>
      <t xml:space="preserve">تعداد ریخته گری کامل 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(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عدد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</si>
  <si>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>تعداد  ذوب زینتر</t>
    </r>
    <r>
      <rPr>
        <b/>
        <sz val="11"/>
        <rFont val="B Nazanin"/>
        <charset val="178"/>
      </rPr>
      <t xml:space="preserve">  </t>
    </r>
    <r>
      <rPr>
        <b/>
        <vertAlign val="superscript"/>
        <sz val="11"/>
        <rFont val="B Nazanin"/>
        <charset val="178"/>
      </rPr>
      <t>(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عدد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</si>
  <si>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>مدت زمان ریخته گری</t>
    </r>
    <r>
      <rPr>
        <b/>
        <sz val="11"/>
        <rFont val="B Nazanin"/>
        <charset val="178"/>
      </rPr>
      <t xml:space="preserve">  </t>
    </r>
    <r>
      <rPr>
        <sz val="9"/>
        <rFont val="B Nazanin"/>
        <charset val="178"/>
      </rPr>
      <t>(ساعت )</t>
    </r>
  </si>
  <si>
    <r>
      <rPr>
        <b/>
        <sz val="12"/>
        <rFont val="B Nazanin"/>
        <charset val="178"/>
      </rPr>
      <t>متوسط زمان ذوب</t>
    </r>
    <r>
      <rPr>
        <b/>
        <sz val="11"/>
        <rFont val="B Nazanin"/>
        <charset val="178"/>
      </rPr>
      <t xml:space="preserve">  </t>
    </r>
    <r>
      <rPr>
        <b/>
        <vertAlign val="superscript"/>
        <sz val="11"/>
        <rFont val="B Nazanin"/>
        <charset val="178"/>
      </rPr>
      <t>(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دقیقه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</si>
  <si>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>زمان کارکرد کوره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(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ساعت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</si>
  <si>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 xml:space="preserve">نرخ تولید </t>
    </r>
    <r>
      <rPr>
        <sz val="10"/>
        <rFont val="B Nazanin"/>
        <charset val="178"/>
      </rPr>
      <t xml:space="preserve">(بدون کسر توقفات) </t>
    </r>
    <r>
      <rPr>
        <b/>
        <sz val="9"/>
        <rFont val="B Nazanin"/>
        <charset val="178"/>
      </rPr>
      <t xml:space="preserve"> </t>
    </r>
    <r>
      <rPr>
        <vertAlign val="superscript"/>
        <sz val="9"/>
        <rFont val="B Nazanin"/>
        <charset val="178"/>
      </rPr>
      <t>(</t>
    </r>
    <r>
      <rPr>
        <sz val="9"/>
        <rFont val="B Nazanin"/>
        <charset val="178"/>
      </rPr>
      <t xml:space="preserve"> </t>
    </r>
    <r>
      <rPr>
        <vertAlign val="superscript"/>
        <sz val="9"/>
        <rFont val="B Nazanin"/>
        <charset val="178"/>
      </rPr>
      <t>Kg/Min</t>
    </r>
    <r>
      <rPr>
        <sz val="9"/>
        <rFont val="B Nazanin"/>
        <charset val="178"/>
      </rPr>
      <t xml:space="preserve"> </t>
    </r>
    <r>
      <rPr>
        <vertAlign val="superscript"/>
        <sz val="9"/>
        <rFont val="B Nazanin"/>
        <charset val="178"/>
      </rPr>
      <t>)</t>
    </r>
  </si>
  <si>
    <r>
      <rPr>
        <b/>
        <sz val="12"/>
        <rFont val="B Nazanin"/>
        <charset val="178"/>
      </rPr>
      <t>میانگین تولید روزانه</t>
    </r>
    <r>
      <rPr>
        <b/>
        <sz val="11"/>
        <rFont val="B Nazanin"/>
        <charset val="178"/>
      </rPr>
      <t xml:space="preserve">  </t>
    </r>
    <r>
      <rPr>
        <b/>
        <vertAlign val="superscript"/>
        <sz val="11"/>
        <rFont val="B Nazanin"/>
        <charset val="178"/>
      </rPr>
      <t>(Kg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</si>
  <si>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>کمترین تولید در ماه</t>
    </r>
    <r>
      <rPr>
        <b/>
        <sz val="11"/>
        <rFont val="B Nazanin"/>
        <charset val="178"/>
      </rPr>
      <t xml:space="preserve">   </t>
    </r>
    <r>
      <rPr>
        <b/>
        <vertAlign val="superscript"/>
        <sz val="11"/>
        <rFont val="B Nazanin"/>
        <charset val="178"/>
      </rPr>
      <t>(Kg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</si>
  <si>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>حداکثر تولید در ماه</t>
    </r>
    <r>
      <rPr>
        <b/>
        <sz val="11"/>
        <rFont val="B Nazanin"/>
        <charset val="178"/>
      </rPr>
      <t xml:space="preserve">   </t>
    </r>
    <r>
      <rPr>
        <b/>
        <vertAlign val="superscript"/>
        <sz val="11"/>
        <rFont val="B Nazanin"/>
        <charset val="178"/>
      </rPr>
      <t>(Kg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</si>
  <si>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>تناژ ضایعات برگشتی</t>
    </r>
    <r>
      <rPr>
        <b/>
        <sz val="11"/>
        <rFont val="B Nazanin"/>
        <charset val="178"/>
      </rPr>
      <t xml:space="preserve"> </t>
    </r>
    <r>
      <rPr>
        <sz val="10"/>
        <rFont val="B Nazanin"/>
        <charset val="178"/>
      </rPr>
      <t>(تن)</t>
    </r>
  </si>
  <si>
    <r>
      <rPr>
        <b/>
        <sz val="12"/>
        <rFont val="B Nazanin"/>
        <charset val="178"/>
      </rPr>
      <t>میانگین تناژ تخلیه</t>
    </r>
    <r>
      <rPr>
        <b/>
        <sz val="11"/>
        <rFont val="B Nazanin"/>
        <charset val="178"/>
      </rPr>
      <t xml:space="preserve">   </t>
    </r>
    <r>
      <rPr>
        <b/>
        <vertAlign val="superscript"/>
        <sz val="11"/>
        <rFont val="B Nazanin"/>
        <charset val="178"/>
      </rPr>
      <t>(Kg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</si>
  <si>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>میانگین عمر نهایی بوته ها</t>
    </r>
    <r>
      <rPr>
        <b/>
        <sz val="11"/>
        <rFont val="B Nazanin"/>
        <charset val="178"/>
      </rPr>
      <t xml:space="preserve"> </t>
    </r>
    <r>
      <rPr>
        <sz val="10"/>
        <rFont val="B Nazanin"/>
        <charset val="178"/>
      </rPr>
      <t xml:space="preserve"> </t>
    </r>
    <r>
      <rPr>
        <vertAlign val="superscript"/>
        <sz val="10"/>
        <rFont val="B Nazanin"/>
        <charset val="178"/>
      </rPr>
      <t>(</t>
    </r>
    <r>
      <rPr>
        <sz val="10"/>
        <rFont val="B Nazanin"/>
        <charset val="178"/>
      </rPr>
      <t xml:space="preserve"> </t>
    </r>
    <r>
      <rPr>
        <vertAlign val="superscript"/>
        <sz val="10"/>
        <rFont val="B Nazanin"/>
        <charset val="178"/>
      </rPr>
      <t>عدد</t>
    </r>
    <r>
      <rPr>
        <sz val="10"/>
        <rFont val="B Nazanin"/>
        <charset val="178"/>
      </rPr>
      <t xml:space="preserve"> </t>
    </r>
    <r>
      <rPr>
        <vertAlign val="superscript"/>
        <sz val="10"/>
        <rFont val="B Nazanin"/>
        <charset val="178"/>
      </rPr>
      <t>)</t>
    </r>
  </si>
  <si>
    <r>
      <rPr>
        <b/>
        <sz val="12"/>
        <rFont val="B Nazanin"/>
        <charset val="178"/>
      </rPr>
      <t>مصرف فرو سیلیکو منگنز</t>
    </r>
    <r>
      <rPr>
        <b/>
        <sz val="9"/>
        <rFont val="B Nazanin"/>
        <charset val="178"/>
      </rPr>
      <t xml:space="preserve">   (Kg )</t>
    </r>
  </si>
  <si>
    <r>
      <rPr>
        <b/>
        <sz val="12"/>
        <rFont val="B Nazanin"/>
        <charset val="178"/>
      </rPr>
      <t>ضریب سیلیکو منگنز</t>
    </r>
    <r>
      <rPr>
        <b/>
        <sz val="9"/>
        <rFont val="B Nazanin"/>
        <charset val="178"/>
      </rPr>
      <t xml:space="preserve">  </t>
    </r>
    <r>
      <rPr>
        <b/>
        <vertAlign val="superscript"/>
        <sz val="9"/>
        <rFont val="B Nazanin"/>
        <charset val="178"/>
      </rPr>
      <t>(</t>
    </r>
    <r>
      <rPr>
        <b/>
        <sz val="9"/>
        <rFont val="B Nazanin"/>
        <charset val="178"/>
      </rPr>
      <t xml:space="preserve">  </t>
    </r>
    <r>
      <rPr>
        <b/>
        <vertAlign val="superscript"/>
        <sz val="9"/>
        <rFont val="B Nazanin"/>
        <charset val="178"/>
      </rPr>
      <t>Kg/TON</t>
    </r>
    <r>
      <rPr>
        <b/>
        <sz val="9"/>
        <rFont val="B Nazanin"/>
        <charset val="178"/>
      </rPr>
      <t xml:space="preserve"> </t>
    </r>
    <r>
      <rPr>
        <b/>
        <vertAlign val="superscript"/>
        <sz val="9"/>
        <rFont val="B Nazanin"/>
        <charset val="178"/>
      </rPr>
      <t>)</t>
    </r>
  </si>
  <si>
    <r>
      <rPr>
        <b/>
        <sz val="12"/>
        <rFont val="B Nazanin"/>
        <charset val="178"/>
      </rPr>
      <t xml:space="preserve"> مصرف فرو سیلیس</t>
    </r>
    <r>
      <rPr>
        <b/>
        <sz val="11"/>
        <rFont val="B Nazanin"/>
        <charset val="178"/>
      </rPr>
      <t xml:space="preserve">   </t>
    </r>
    <r>
      <rPr>
        <sz val="10"/>
        <rFont val="B Nazanin"/>
        <charset val="178"/>
      </rPr>
      <t xml:space="preserve"> (</t>
    </r>
    <r>
      <rPr>
        <sz val="9"/>
        <rFont val="B Nazanin"/>
        <charset val="178"/>
      </rPr>
      <t>Kg</t>
    </r>
    <r>
      <rPr>
        <sz val="10"/>
        <rFont val="B Nazanin"/>
        <charset val="178"/>
      </rPr>
      <t xml:space="preserve"> )</t>
    </r>
  </si>
  <si>
    <r>
      <rPr>
        <b/>
        <sz val="12"/>
        <rFont val="B Nazanin"/>
        <charset val="178"/>
      </rPr>
      <t>ضریب مصرف سیلیس</t>
    </r>
    <r>
      <rPr>
        <b/>
        <sz val="11"/>
        <rFont val="B Nazanin"/>
        <charset val="178"/>
      </rPr>
      <t xml:space="preserve"> </t>
    </r>
    <r>
      <rPr>
        <sz val="5"/>
        <rFont val="B Nazanin"/>
        <charset val="178"/>
      </rPr>
      <t xml:space="preserve"> </t>
    </r>
    <r>
      <rPr>
        <b/>
        <sz val="5"/>
        <rFont val="B Nazanin"/>
        <charset val="178"/>
      </rPr>
      <t>(  Kg/TON )</t>
    </r>
  </si>
  <si>
    <r>
      <rPr>
        <b/>
        <sz val="12"/>
        <rFont val="B Nazanin"/>
        <charset val="178"/>
      </rPr>
      <t>مقدار مصرف کک</t>
    </r>
    <r>
      <rPr>
        <b/>
        <sz val="11"/>
        <rFont val="B Nazanin"/>
        <charset val="178"/>
      </rPr>
      <t xml:space="preserve">   (</t>
    </r>
    <r>
      <rPr>
        <sz val="11"/>
        <rFont val="B Nazanin"/>
        <charset val="178"/>
      </rPr>
      <t>Kg</t>
    </r>
    <r>
      <rPr>
        <b/>
        <sz val="11"/>
        <rFont val="B Nazanin"/>
        <charset val="178"/>
      </rPr>
      <t xml:space="preserve"> )</t>
    </r>
  </si>
  <si>
    <r>
      <rPr>
        <b/>
        <sz val="12"/>
        <rFont val="B Nazanin"/>
        <charset val="178"/>
      </rPr>
      <t xml:space="preserve">ضریب مصرف کک </t>
    </r>
    <r>
      <rPr>
        <b/>
        <sz val="11"/>
        <rFont val="B Nazanin"/>
        <charset val="178"/>
      </rPr>
      <t xml:space="preserve"> </t>
    </r>
    <r>
      <rPr>
        <b/>
        <sz val="6"/>
        <rFont val="B Nazanin"/>
        <charset val="178"/>
      </rPr>
      <t>(  Kg/TON )</t>
    </r>
  </si>
  <si>
    <r>
      <rPr>
        <b/>
        <sz val="12"/>
        <rFont val="B Nazanin"/>
        <charset val="178"/>
      </rPr>
      <t>مجموع کل توقفات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(ساعت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</si>
  <si>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>کندی ها</t>
    </r>
    <r>
      <rPr>
        <b/>
        <sz val="11"/>
        <rFont val="B Nazanin"/>
        <charset val="178"/>
      </rPr>
      <t xml:space="preserve">   </t>
    </r>
    <r>
      <rPr>
        <sz val="10"/>
        <rFont val="B Nazanin"/>
        <charset val="178"/>
      </rPr>
      <t>(ساعت )</t>
    </r>
  </si>
  <si>
    <r>
      <rPr>
        <b/>
        <sz val="12"/>
        <rFont val="B Nazanin"/>
        <charset val="178"/>
      </rPr>
      <t>توقفات تولیدی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(ساعت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</si>
  <si>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r>
      <rPr>
        <b/>
        <sz val="12"/>
        <rFont val="B Nazanin"/>
        <charset val="178"/>
      </rPr>
      <t>توقفات فنی</t>
    </r>
    <r>
      <rPr>
        <b/>
        <sz val="11"/>
        <rFont val="B Nazanin"/>
        <charset val="178"/>
      </rPr>
      <t xml:space="preserve"> </t>
    </r>
    <r>
      <rPr>
        <sz val="10"/>
        <rFont val="B Nazanin"/>
        <charset val="178"/>
      </rPr>
      <t>(تمام تجهیزات)</t>
    </r>
    <r>
      <rPr>
        <b/>
        <vertAlign val="superscript"/>
        <sz val="11"/>
        <rFont val="B Nazanin"/>
        <charset val="178"/>
      </rPr>
      <t>(ساعت</t>
    </r>
    <r>
      <rPr>
        <b/>
        <sz val="11"/>
        <rFont val="B Nazanin"/>
        <charset val="178"/>
      </rPr>
      <t xml:space="preserve"> </t>
    </r>
    <r>
      <rPr>
        <b/>
        <vertAlign val="superscript"/>
        <sz val="11"/>
        <rFont val="B Nazanin"/>
        <charset val="178"/>
      </rPr>
      <t>)</t>
    </r>
  </si>
  <si>
    <t>خلاصه عملکرد اسفند ماه 1404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</si>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</sst>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%"/>
    <numFmt numFmtId="166" formatCode="h:mm;@"/>
    <numFmt numFmtId="167" formatCode="[h]:mm;@"/>
    <numFmt numFmtId="168" formatCode="[h]:mm"/>
    <numFmt numFmtId="169" formatCode="0.000%"/>
    <numFmt numFmtId="170" formatCode="0.000"/>
    <numFmt numFmtId="171" formatCode="#,##0.000"/>
  </numFmts>
  <fonts count="41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B Nazanin"/>
      <charset val="178"/>
    </font>
    <font>
      <b/>
      <sz val="11"/>
      <name val="B Nazanin"/>
      <charset val="178"/>
    </font>
    <font>
      <b/>
      <sz val="12"/>
      <name val="B Nazanin"/>
      <charset val="178"/>
    </font>
    <font>
      <b/>
      <sz val="14"/>
      <name val="B Nazanin"/>
      <charset val="178"/>
    </font>
    <font>
      <b/>
      <sz val="12"/>
      <color rgb="FF000000"/>
      <name val="B Nazanin"/>
      <charset val="178"/>
    </font>
    <font>
      <sz val="9"/>
      <name val="B Nazanin"/>
      <charset val="178"/>
    </font>
    <font>
      <vertAlign val="superscript"/>
      <sz val="9"/>
      <name val="B Nazanin"/>
      <charset val="178"/>
    </font>
    <font>
      <b/>
      <sz val="10"/>
      <name val="B Nazanin"/>
      <charset val="178"/>
    </font>
    <font>
      <b/>
      <sz val="8"/>
      <name val="B Nazanin"/>
      <charset val="178"/>
    </font>
    <font>
      <sz val="10"/>
      <color rgb="FF000000"/>
      <name val="A  Mitra_1 (MRT)"/>
      <charset val="178"/>
    </font>
    <font>
      <b/>
      <sz val="12"/>
      <name val="A  Mitra_1 (MRT)"/>
      <charset val="178"/>
    </font>
    <font>
      <sz val="12"/>
      <color rgb="FF000000"/>
      <name val="A  Mitra_1 (MRT)"/>
      <charset val="178"/>
    </font>
    <font>
      <sz val="12"/>
      <name val="A  Mitra_1 (MRT)"/>
      <charset val="178"/>
    </font>
    <font>
      <vertAlign val="superscript"/>
      <sz val="12"/>
      <name val="A  Mitra_1 (MRT)"/>
      <charset val="178"/>
    </font>
    <font>
      <b/>
      <vertAlign val="superscript"/>
      <sz val="12"/>
      <name val="A  Mitra_1 (MRT)"/>
      <charset val="178"/>
    </font>
    <font>
      <b/>
      <sz val="18"/>
      <name val="A  Mitra_1 (MRT)"/>
      <charset val="178"/>
    </font>
    <font>
      <b/>
      <sz val="11"/>
      <color rgb="FF000000"/>
      <name val="B Nazanin"/>
      <charset val="178"/>
    </font>
    <font>
      <b/>
      <vertAlign val="superscript"/>
      <sz val="11"/>
      <name val="B Nazanin"/>
      <charset val="178"/>
    </font>
    <font>
      <b/>
      <sz val="9"/>
      <name val="B Nazanin"/>
      <charset val="178"/>
    </font>
    <font>
      <sz val="11"/>
      <name val="B Nazanin"/>
      <charset val="178"/>
    </font>
    <font>
      <b/>
      <vertAlign val="superscript"/>
      <sz val="9"/>
      <name val="B Nazanin"/>
      <charset val="178"/>
    </font>
    <font>
      <b/>
      <sz val="18"/>
      <color rgb="FF000000"/>
      <name val="B Nazanin"/>
      <charset val="178"/>
    </font>
    <font>
      <b/>
      <sz val="14"/>
      <color rgb="FF000000"/>
      <name val="B Nazanin"/>
      <charset val="178"/>
    </font>
    <font>
      <b/>
      <sz val="16"/>
      <color rgb="FF000000"/>
      <name val="B Nazanin"/>
      <charset val="178"/>
    </font>
    <font>
      <sz val="10"/>
      <name val="B Nazanin"/>
      <charset val="178"/>
    </font>
    <font>
      <vertAlign val="superscript"/>
      <sz val="10"/>
      <name val="B Nazanin"/>
      <charset val="178"/>
    </font>
    <font>
      <sz val="5"/>
      <name val="B Nazanin"/>
      <charset val="178"/>
    </font>
    <font>
      <b/>
      <sz val="5"/>
      <name val="B Nazanin"/>
      <charset val="178"/>
    </font>
    <font>
      <b/>
      <sz val="6"/>
      <name val="B Nazanin"/>
      <charset val="178"/>
    </font>
    <font>
      <sz val="10"/>
      <name val="A  Mitra_1 (MRT)"/>
      <charset val="178"/>
    </font>
    <font>
      <sz val="9"/>
      <name val="A  Mitra_1 (MRT)"/>
      <charset val="178"/>
    </font>
    <font>
      <sz val="8"/>
      <name val="A  Mitra_1 (MRT)"/>
      <charset val="178"/>
    </font>
    <font>
      <sz val="8"/>
      <name val="B Nazanin"/>
      <charset val="178"/>
    </font>
    <font>
      <sz val="11"/>
      <name val="A  Mitra_1 (MRT)"/>
      <charset val="178"/>
    </font>
    <font>
      <sz val="6"/>
      <name val="A  Mitra_1 (MRT)"/>
      <charset val="178"/>
    </font>
    <font>
      <sz val="11"/>
      <color rgb="FF000000"/>
      <name val="B Nazanin"/>
      <charset val="178"/>
    </font>
    <font>
      <sz val="8"/>
      <color rgb="FF000000"/>
      <name val="B Nazanin"/>
      <charset val="178"/>
    </font>
    <font>
      <b/>
      <sz val="12"/>
      <color theme="1"/>
      <name val="B Nazanin"/>
      <charset val="178"/>
    </font>
    <font>
      <b/>
      <sz val="13"/>
      <color rgb="FF000000"/>
      <name val="B Nazanin"/>
      <charset val="178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1F1F1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7">
    <xf numFmtId="0" fontId="0" fillId="0" borderId="0" xfId="0"/>
    <xf numFmtId="0" fontId="11" fillId="0" borderId="0" xfId="1" applyFont="1" applyAlignment="1">
      <alignment horizontal="left" vertical="top"/>
    </xf>
    <xf numFmtId="1" fontId="13" fillId="0" borderId="2" xfId="1" applyNumberFormat="1" applyFont="1" applyBorder="1" applyAlignment="1">
      <alignment horizontal="center" vertical="top" shrinkToFit="1"/>
    </xf>
    <xf numFmtId="0" fontId="12" fillId="3" borderId="2" xfId="1" applyFont="1" applyFill="1" applyBorder="1" applyAlignment="1">
      <alignment horizontal="right" vertical="top" wrapText="1" indent="2" readingOrder="2"/>
    </xf>
    <xf numFmtId="0" fontId="2" fillId="0" borderId="0" xfId="1" applyFont="1" applyAlignment="1">
      <alignment horizontal="left" vertical="top" readingOrder="1"/>
    </xf>
    <xf numFmtId="0" fontId="4" fillId="2" borderId="1" xfId="1" applyFont="1" applyFill="1" applyBorder="1" applyAlignment="1">
      <alignment horizontal="center" vertical="center" readingOrder="1"/>
    </xf>
    <xf numFmtId="0" fontId="4" fillId="7" borderId="11" xfId="1" applyFont="1" applyFill="1" applyBorder="1" applyAlignment="1">
      <alignment horizontal="right" vertical="center" wrapText="1" indent="1"/>
    </xf>
    <xf numFmtId="3" fontId="6" fillId="5" borderId="2" xfId="1" applyNumberFormat="1" applyFont="1" applyFill="1" applyBorder="1" applyAlignment="1">
      <alignment horizontal="center" vertical="center" shrinkToFit="1"/>
    </xf>
    <xf numFmtId="0" fontId="4" fillId="5" borderId="11" xfId="1" applyFont="1" applyFill="1" applyBorder="1" applyAlignment="1">
      <alignment horizontal="right" vertical="center" wrapText="1" indent="1"/>
    </xf>
    <xf numFmtId="3" fontId="6" fillId="7" borderId="2" xfId="1" applyNumberFormat="1" applyFont="1" applyFill="1" applyBorder="1" applyAlignment="1">
      <alignment horizontal="center" vertical="center" shrinkToFit="1" readingOrder="1"/>
    </xf>
    <xf numFmtId="3" fontId="6" fillId="5" borderId="2" xfId="1" applyNumberFormat="1" applyFont="1" applyFill="1" applyBorder="1" applyAlignment="1">
      <alignment horizontal="center" vertical="center" shrinkToFit="1" readingOrder="1"/>
    </xf>
    <xf numFmtId="1" fontId="6" fillId="7" borderId="2" xfId="1" applyNumberFormat="1" applyFont="1" applyFill="1" applyBorder="1" applyAlignment="1">
      <alignment horizontal="center" vertical="center" shrinkToFit="1" readingOrder="1"/>
    </xf>
    <xf numFmtId="1" fontId="6" fillId="5" borderId="2" xfId="1" applyNumberFormat="1" applyFont="1" applyFill="1" applyBorder="1" applyAlignment="1">
      <alignment horizontal="center" vertical="center" shrinkToFit="1" readingOrder="1"/>
    </xf>
    <xf numFmtId="166" fontId="4" fillId="7" borderId="2" xfId="1" applyNumberFormat="1" applyFont="1" applyFill="1" applyBorder="1" applyAlignment="1">
      <alignment horizontal="center" vertical="center" readingOrder="1"/>
    </xf>
    <xf numFmtId="20" fontId="4" fillId="7" borderId="2" xfId="1" applyNumberFormat="1" applyFont="1" applyFill="1" applyBorder="1" applyAlignment="1">
      <alignment horizontal="center" vertical="center" readingOrder="1"/>
    </xf>
    <xf numFmtId="168" fontId="6" fillId="5" borderId="2" xfId="1" applyNumberFormat="1" applyFont="1" applyFill="1" applyBorder="1" applyAlignment="1">
      <alignment horizontal="center" vertical="center" shrinkToFit="1" readingOrder="1"/>
    </xf>
    <xf numFmtId="169" fontId="6" fillId="5" borderId="2" xfId="1" applyNumberFormat="1" applyFont="1" applyFill="1" applyBorder="1" applyAlignment="1">
      <alignment horizontal="center" vertical="center" shrinkToFit="1" readingOrder="1"/>
    </xf>
    <xf numFmtId="10" fontId="6" fillId="5" borderId="2" xfId="1" applyNumberFormat="1" applyFont="1" applyFill="1" applyBorder="1" applyAlignment="1">
      <alignment horizontal="center" vertical="center" shrinkToFit="1" readingOrder="1"/>
    </xf>
    <xf numFmtId="170" fontId="6" fillId="5" borderId="2" xfId="1" applyNumberFormat="1" applyFont="1" applyFill="1" applyBorder="1" applyAlignment="1">
      <alignment horizontal="center" vertical="center" shrinkToFit="1" readingOrder="1"/>
    </xf>
    <xf numFmtId="0" fontId="6" fillId="7" borderId="2" xfId="1" applyNumberFormat="1" applyFont="1" applyFill="1" applyBorder="1" applyAlignment="1">
      <alignment horizontal="center" vertical="center" shrinkToFit="1" readingOrder="1"/>
    </xf>
    <xf numFmtId="168" fontId="4" fillId="7" borderId="2" xfId="1" applyNumberFormat="1" applyFont="1" applyFill="1" applyBorder="1" applyAlignment="1">
      <alignment horizontal="center" vertical="center" readingOrder="1"/>
    </xf>
    <xf numFmtId="20" fontId="4" fillId="5" borderId="2" xfId="1" applyNumberFormat="1" applyFont="1" applyFill="1" applyBorder="1" applyAlignment="1">
      <alignment horizontal="center" vertical="center" readingOrder="1"/>
    </xf>
    <xf numFmtId="4" fontId="6" fillId="5" borderId="2" xfId="1" applyNumberFormat="1" applyFont="1" applyFill="1" applyBorder="1" applyAlignment="1">
      <alignment horizontal="center" vertical="center" shrinkToFit="1" readingOrder="1"/>
    </xf>
    <xf numFmtId="168" fontId="6" fillId="7" borderId="2" xfId="1" applyNumberFormat="1" applyFont="1" applyFill="1" applyBorder="1" applyAlignment="1">
      <alignment horizontal="center" vertical="center" shrinkToFit="1" readingOrder="1"/>
    </xf>
    <xf numFmtId="171" fontId="6" fillId="5" borderId="2" xfId="1" applyNumberFormat="1" applyFont="1" applyFill="1" applyBorder="1" applyAlignment="1">
      <alignment horizontal="center" vertical="center" shrinkToFit="1" readingOrder="1"/>
    </xf>
    <xf numFmtId="0" fontId="6" fillId="5" borderId="11" xfId="1" applyFont="1" applyFill="1" applyBorder="1" applyAlignment="1">
      <alignment horizontal="right" vertical="center" wrapText="1" indent="1"/>
    </xf>
    <xf numFmtId="168" fontId="4" fillId="5" borderId="2" xfId="1" applyNumberFormat="1" applyFont="1" applyFill="1" applyBorder="1" applyAlignment="1">
      <alignment horizontal="center" vertical="center" readingOrder="1"/>
    </xf>
    <xf numFmtId="0" fontId="3" fillId="7" borderId="11" xfId="1" applyFont="1" applyFill="1" applyBorder="1" applyAlignment="1">
      <alignment horizontal="right" vertical="center" wrapText="1" indent="1"/>
    </xf>
    <xf numFmtId="0" fontId="3" fillId="5" borderId="11" xfId="1" applyFont="1" applyFill="1" applyBorder="1" applyAlignment="1">
      <alignment horizontal="right" vertical="center" wrapText="1" indent="1"/>
    </xf>
    <xf numFmtId="168" fontId="6" fillId="5" borderId="0" xfId="1" applyNumberFormat="1" applyFont="1" applyFill="1" applyBorder="1" applyAlignment="1">
      <alignment horizontal="center" vertical="center" shrinkToFit="1" readingOrder="1"/>
    </xf>
    <xf numFmtId="168" fontId="4" fillId="5" borderId="0" xfId="1" applyNumberFormat="1" applyFont="1" applyFill="1" applyBorder="1" applyAlignment="1">
      <alignment horizontal="center" vertical="center" readingOrder="1"/>
    </xf>
    <xf numFmtId="0" fontId="21" fillId="5" borderId="0" xfId="1" applyFont="1" applyFill="1" applyBorder="1" applyAlignment="1">
      <alignment horizontal="right" vertical="center" wrapText="1" indent="1"/>
    </xf>
    <xf numFmtId="0" fontId="4" fillId="2" borderId="17" xfId="1" applyFont="1" applyFill="1" applyBorder="1" applyAlignment="1">
      <alignment horizontal="center" vertical="center" readingOrder="1"/>
    </xf>
    <xf numFmtId="0" fontId="4" fillId="2" borderId="18" xfId="1" applyFont="1" applyFill="1" applyBorder="1" applyAlignment="1">
      <alignment vertical="center" readingOrder="1"/>
    </xf>
    <xf numFmtId="3" fontId="6" fillId="7" borderId="4" xfId="1" applyNumberFormat="1" applyFont="1" applyFill="1" applyBorder="1" applyAlignment="1">
      <alignment horizontal="center" vertical="center" shrinkToFit="1" readingOrder="1"/>
    </xf>
    <xf numFmtId="0" fontId="3" fillId="7" borderId="15" xfId="1" applyFont="1" applyFill="1" applyBorder="1" applyAlignment="1">
      <alignment horizontal="right" vertical="center" wrapText="1" indent="1"/>
    </xf>
    <xf numFmtId="4" fontId="6" fillId="5" borderId="6" xfId="1" applyNumberFormat="1" applyFont="1" applyFill="1" applyBorder="1" applyAlignment="1">
      <alignment horizontal="center" vertical="center" shrinkToFit="1" readingOrder="1"/>
    </xf>
    <xf numFmtId="0" fontId="3" fillId="5" borderId="6" xfId="1" applyFont="1" applyFill="1" applyBorder="1" applyAlignment="1">
      <alignment horizontal="right" vertical="center" wrapText="1" indent="1"/>
    </xf>
    <xf numFmtId="1" fontId="6" fillId="5" borderId="11" xfId="1" applyNumberFormat="1" applyFont="1" applyFill="1" applyBorder="1" applyAlignment="1">
      <alignment horizontal="center" vertical="center" shrinkToFit="1" readingOrder="1"/>
    </xf>
    <xf numFmtId="1" fontId="6" fillId="7" borderId="11" xfId="1" applyNumberFormat="1" applyFont="1" applyFill="1" applyBorder="1" applyAlignment="1">
      <alignment horizontal="center" vertical="center" shrinkToFit="1" readingOrder="1"/>
    </xf>
    <xf numFmtId="0" fontId="3" fillId="7" borderId="6" xfId="1" applyFont="1" applyFill="1" applyBorder="1" applyAlignment="1">
      <alignment horizontal="right" vertical="center" wrapText="1" indent="1"/>
    </xf>
    <xf numFmtId="4" fontId="6" fillId="5" borderId="1" xfId="1" applyNumberFormat="1" applyFont="1" applyFill="1" applyBorder="1" applyAlignment="1">
      <alignment horizontal="center" vertical="center" shrinkToFit="1" readingOrder="1"/>
    </xf>
    <xf numFmtId="171" fontId="6" fillId="5" borderId="1" xfId="1" applyNumberFormat="1" applyFont="1" applyFill="1" applyBorder="1" applyAlignment="1">
      <alignment horizontal="center" vertical="center" shrinkToFit="1" readingOrder="1"/>
    </xf>
    <xf numFmtId="170" fontId="6" fillId="5" borderId="1" xfId="1" applyNumberFormat="1" applyFont="1" applyFill="1" applyBorder="1" applyAlignment="1">
      <alignment horizontal="center" vertical="center" shrinkToFit="1" readingOrder="1"/>
    </xf>
    <xf numFmtId="3" fontId="6" fillId="7" borderId="6" xfId="1" applyNumberFormat="1" applyFont="1" applyFill="1" applyBorder="1" applyAlignment="1">
      <alignment horizontal="center" vertical="center" shrinkToFit="1" readingOrder="1"/>
    </xf>
    <xf numFmtId="0" fontId="4" fillId="9" borderId="1" xfId="1" applyFont="1" applyFill="1" applyBorder="1" applyAlignment="1">
      <alignment horizontal="center" vertical="center" readingOrder="1"/>
    </xf>
    <xf numFmtId="3" fontId="18" fillId="0" borderId="6" xfId="1" applyNumberFormat="1" applyFont="1" applyBorder="1" applyAlignment="1">
      <alignment horizontal="center" vertical="center" readingOrder="1"/>
    </xf>
    <xf numFmtId="3" fontId="6" fillId="9" borderId="2" xfId="1" applyNumberFormat="1" applyFont="1" applyFill="1" applyBorder="1" applyAlignment="1">
      <alignment horizontal="center" vertical="center" shrinkToFit="1" readingOrder="1"/>
    </xf>
    <xf numFmtId="3" fontId="6" fillId="10" borderId="6" xfId="1" applyNumberFormat="1" applyFont="1" applyFill="1" applyBorder="1" applyAlignment="1">
      <alignment horizontal="center" vertical="center" shrinkToFit="1" readingOrder="1"/>
    </xf>
    <xf numFmtId="1" fontId="6" fillId="10" borderId="6" xfId="1" applyNumberFormat="1" applyFont="1" applyFill="1" applyBorder="1" applyAlignment="1">
      <alignment horizontal="center" vertical="center" shrinkToFit="1" readingOrder="1"/>
    </xf>
    <xf numFmtId="4" fontId="6" fillId="10" borderId="6" xfId="1" applyNumberFormat="1" applyFont="1" applyFill="1" applyBorder="1" applyAlignment="1">
      <alignment horizontal="center" vertical="center" shrinkToFit="1" readingOrder="1"/>
    </xf>
    <xf numFmtId="0" fontId="4" fillId="6" borderId="6" xfId="1" applyFont="1" applyFill="1" applyBorder="1" applyAlignment="1">
      <alignment horizontal="center" vertical="center" readingOrder="1"/>
    </xf>
    <xf numFmtId="10" fontId="6" fillId="5" borderId="6" xfId="1" applyNumberFormat="1" applyFont="1" applyFill="1" applyBorder="1" applyAlignment="1">
      <alignment horizontal="center" vertical="center" shrinkToFit="1" readingOrder="1"/>
    </xf>
    <xf numFmtId="165" fontId="6" fillId="5" borderId="6" xfId="1" applyNumberFormat="1" applyFont="1" applyFill="1" applyBorder="1" applyAlignment="1">
      <alignment horizontal="center" vertical="center" shrinkToFit="1" readingOrder="1"/>
    </xf>
    <xf numFmtId="0" fontId="2" fillId="0" borderId="0" xfId="1" applyFont="1" applyAlignment="1">
      <alignment horizontal="center" vertical="center" readingOrder="1"/>
    </xf>
    <xf numFmtId="168" fontId="4" fillId="7" borderId="11" xfId="1" applyNumberFormat="1" applyFont="1" applyFill="1" applyBorder="1" applyAlignment="1">
      <alignment horizontal="center" vertical="center" readingOrder="1"/>
    </xf>
    <xf numFmtId="20" fontId="4" fillId="5" borderId="11" xfId="1" applyNumberFormat="1" applyFont="1" applyFill="1" applyBorder="1" applyAlignment="1">
      <alignment horizontal="center" vertical="center" readingOrder="1"/>
    </xf>
    <xf numFmtId="0" fontId="5" fillId="5" borderId="0" xfId="1" applyFont="1" applyFill="1" applyBorder="1" applyAlignment="1">
      <alignment horizontal="center" vertical="center" textRotation="90" readingOrder="1"/>
    </xf>
    <xf numFmtId="3" fontId="6" fillId="5" borderId="1" xfId="1" applyNumberFormat="1" applyFont="1" applyFill="1" applyBorder="1" applyAlignment="1">
      <alignment horizontal="center" vertical="center" shrinkToFit="1" readingOrder="1"/>
    </xf>
    <xf numFmtId="3" fontId="6" fillId="5" borderId="13" xfId="1" applyNumberFormat="1" applyFont="1" applyFill="1" applyBorder="1" applyAlignment="1">
      <alignment horizontal="center" vertical="center" shrinkToFit="1" readingOrder="1"/>
    </xf>
    <xf numFmtId="0" fontId="18" fillId="5" borderId="20" xfId="1" applyFont="1" applyFill="1" applyBorder="1" applyAlignment="1">
      <alignment horizontal="right" vertical="center" wrapText="1" indent="1"/>
    </xf>
    <xf numFmtId="0" fontId="4" fillId="14" borderId="6" xfId="1" applyFont="1" applyFill="1" applyBorder="1" applyAlignment="1">
      <alignment horizontal="center" vertical="center" readingOrder="1"/>
    </xf>
    <xf numFmtId="3" fontId="6" fillId="14" borderId="2" xfId="1" applyNumberFormat="1" applyFont="1" applyFill="1" applyBorder="1" applyAlignment="1">
      <alignment horizontal="center" vertical="center" shrinkToFit="1" readingOrder="1"/>
    </xf>
    <xf numFmtId="3" fontId="6" fillId="14" borderId="11" xfId="1" applyNumberFormat="1" applyFont="1" applyFill="1" applyBorder="1" applyAlignment="1">
      <alignment horizontal="center" vertical="center" shrinkToFit="1" readingOrder="1"/>
    </xf>
    <xf numFmtId="0" fontId="3" fillId="14" borderId="6" xfId="1" applyFont="1" applyFill="1" applyBorder="1" applyAlignment="1">
      <alignment horizontal="right" vertical="center" wrapText="1" indent="1"/>
    </xf>
    <xf numFmtId="1" fontId="6" fillId="14" borderId="2" xfId="1" applyNumberFormat="1" applyFont="1" applyFill="1" applyBorder="1" applyAlignment="1">
      <alignment horizontal="center" vertical="center" shrinkToFit="1" readingOrder="1"/>
    </xf>
    <xf numFmtId="1" fontId="6" fillId="14" borderId="11" xfId="1" applyNumberFormat="1" applyFont="1" applyFill="1" applyBorder="1" applyAlignment="1">
      <alignment horizontal="center" vertical="center" shrinkToFit="1" readingOrder="1"/>
    </xf>
    <xf numFmtId="0" fontId="9" fillId="14" borderId="6" xfId="1" applyFont="1" applyFill="1" applyBorder="1" applyAlignment="1">
      <alignment horizontal="right" vertical="center" wrapText="1" indent="1"/>
    </xf>
    <xf numFmtId="0" fontId="6" fillId="5" borderId="0" xfId="1" applyFont="1" applyFill="1" applyBorder="1" applyAlignment="1">
      <alignment horizontal="center" vertical="center" readingOrder="1"/>
    </xf>
    <xf numFmtId="0" fontId="4" fillId="12" borderId="6" xfId="1" applyFont="1" applyFill="1" applyBorder="1" applyAlignment="1">
      <alignment horizontal="center" vertical="center" readingOrder="1"/>
    </xf>
    <xf numFmtId="3" fontId="6" fillId="8" borderId="6" xfId="1" applyNumberFormat="1" applyFont="1" applyFill="1" applyBorder="1" applyAlignment="1">
      <alignment horizontal="center" vertical="center" shrinkToFit="1" readingOrder="1"/>
    </xf>
    <xf numFmtId="0" fontId="6" fillId="8" borderId="6" xfId="1" applyNumberFormat="1" applyFont="1" applyFill="1" applyBorder="1" applyAlignment="1">
      <alignment horizontal="center" vertical="center" shrinkToFit="1" readingOrder="1"/>
    </xf>
    <xf numFmtId="1" fontId="6" fillId="8" borderId="6" xfId="1" applyNumberFormat="1" applyFont="1" applyFill="1" applyBorder="1" applyAlignment="1">
      <alignment horizontal="center" vertical="center" shrinkToFit="1" readingOrder="1"/>
    </xf>
    <xf numFmtId="3" fontId="6" fillId="5" borderId="0" xfId="1" applyNumberFormat="1" applyFont="1" applyFill="1" applyBorder="1" applyAlignment="1">
      <alignment horizontal="center" vertical="center" shrinkToFit="1" readingOrder="1"/>
    </xf>
    <xf numFmtId="10" fontId="6" fillId="5" borderId="0" xfId="1" applyNumberFormat="1" applyFont="1" applyFill="1" applyBorder="1" applyAlignment="1">
      <alignment horizontal="center" vertical="center" shrinkToFit="1" readingOrder="1"/>
    </xf>
    <xf numFmtId="165" fontId="6" fillId="5" borderId="0" xfId="1" applyNumberFormat="1" applyFont="1" applyFill="1" applyBorder="1" applyAlignment="1">
      <alignment horizontal="center" vertical="center" shrinkToFit="1" readingOrder="1"/>
    </xf>
    <xf numFmtId="0" fontId="6" fillId="5" borderId="0" xfId="1" applyNumberFormat="1" applyFont="1" applyFill="1" applyBorder="1" applyAlignment="1">
      <alignment horizontal="center" vertical="center" shrinkToFit="1" readingOrder="1"/>
    </xf>
    <xf numFmtId="1" fontId="6" fillId="5" borderId="0" xfId="1" applyNumberFormat="1" applyFont="1" applyFill="1" applyBorder="1" applyAlignment="1">
      <alignment horizontal="center" vertical="center" shrinkToFit="1" readingOrder="1"/>
    </xf>
    <xf numFmtId="3" fontId="6" fillId="5" borderId="2" xfId="0" applyNumberFormat="1" applyFont="1" applyFill="1" applyBorder="1" applyAlignment="1">
      <alignment horizontal="center" vertical="center" shrinkToFit="1"/>
    </xf>
    <xf numFmtId="1" fontId="6" fillId="5" borderId="2" xfId="0" applyNumberFormat="1" applyFont="1" applyFill="1" applyBorder="1" applyAlignment="1">
      <alignment horizontal="center" vertical="center" shrinkToFit="1"/>
    </xf>
    <xf numFmtId="20" fontId="4" fillId="5" borderId="2" xfId="0" applyNumberFormat="1" applyFont="1" applyFill="1" applyBorder="1" applyAlignment="1">
      <alignment horizontal="center" vertical="center" wrapText="1"/>
    </xf>
    <xf numFmtId="3" fontId="23" fillId="5" borderId="2" xfId="1" applyNumberFormat="1" applyFont="1" applyFill="1" applyBorder="1" applyAlignment="1">
      <alignment horizontal="center" vertical="center" shrinkToFit="1"/>
    </xf>
    <xf numFmtId="1" fontId="6" fillId="5" borderId="2" xfId="1" applyNumberFormat="1" applyFont="1" applyFill="1" applyBorder="1" applyAlignment="1">
      <alignment horizontal="center" vertical="center" shrinkToFit="1"/>
    </xf>
    <xf numFmtId="166" fontId="6" fillId="5" borderId="2" xfId="1" applyNumberFormat="1" applyFont="1" applyFill="1" applyBorder="1" applyAlignment="1">
      <alignment horizontal="center" vertical="center" shrinkToFit="1"/>
    </xf>
    <xf numFmtId="166" fontId="4" fillId="5" borderId="2" xfId="1" applyNumberFormat="1" applyFont="1" applyFill="1" applyBorder="1" applyAlignment="1">
      <alignment horizontal="center" vertical="center" wrapText="1"/>
    </xf>
    <xf numFmtId="4" fontId="6" fillId="5" borderId="2" xfId="1" applyNumberFormat="1" applyFont="1" applyFill="1" applyBorder="1" applyAlignment="1">
      <alignment horizontal="center" vertical="center" shrinkToFit="1"/>
    </xf>
    <xf numFmtId="4" fontId="6" fillId="5" borderId="2" xfId="0" applyNumberFormat="1" applyFont="1" applyFill="1" applyBorder="1" applyAlignment="1">
      <alignment horizontal="center" vertical="center" shrinkToFit="1"/>
    </xf>
    <xf numFmtId="20" fontId="4" fillId="5" borderId="2" xfId="1" applyNumberFormat="1" applyFont="1" applyFill="1" applyBorder="1" applyAlignment="1">
      <alignment horizontal="center" vertical="center" wrapText="1"/>
    </xf>
    <xf numFmtId="166" fontId="6" fillId="5" borderId="2" xfId="0" applyNumberFormat="1" applyFont="1" applyFill="1" applyBorder="1" applyAlignment="1">
      <alignment horizontal="center" vertical="center" shrinkToFit="1"/>
    </xf>
    <xf numFmtId="167" fontId="6" fillId="5" borderId="2" xfId="0" applyNumberFormat="1" applyFont="1" applyFill="1" applyBorder="1" applyAlignment="1">
      <alignment horizontal="center" vertical="center" shrinkToFit="1"/>
    </xf>
    <xf numFmtId="167" fontId="6" fillId="5" borderId="2" xfId="1" applyNumberFormat="1" applyFont="1" applyFill="1" applyBorder="1" applyAlignment="1">
      <alignment horizontal="center" vertical="center" shrinkToFit="1"/>
    </xf>
    <xf numFmtId="3" fontId="6" fillId="5" borderId="11" xfId="0" applyNumberFormat="1" applyFont="1" applyFill="1" applyBorder="1" applyAlignment="1">
      <alignment horizontal="center" vertical="center" shrinkToFit="1"/>
    </xf>
    <xf numFmtId="167" fontId="6" fillId="5" borderId="11" xfId="0" applyNumberFormat="1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vertical="center" readingOrder="1"/>
    </xf>
    <xf numFmtId="3" fontId="24" fillId="7" borderId="2" xfId="1" applyNumberFormat="1" applyFont="1" applyFill="1" applyBorder="1" applyAlignment="1">
      <alignment horizontal="center" vertical="center" shrinkToFit="1" readingOrder="1"/>
    </xf>
    <xf numFmtId="3" fontId="24" fillId="5" borderId="2" xfId="1" applyNumberFormat="1" applyFont="1" applyFill="1" applyBorder="1" applyAlignment="1">
      <alignment horizontal="center" vertical="center" shrinkToFit="1" readingOrder="1"/>
    </xf>
    <xf numFmtId="0" fontId="3" fillId="2" borderId="8" xfId="0" applyFont="1" applyFill="1" applyBorder="1" applyAlignment="1">
      <alignment vertical="center" readingOrder="2"/>
    </xf>
    <xf numFmtId="2" fontId="6" fillId="5" borderId="2" xfId="1" applyNumberFormat="1" applyFont="1" applyFill="1" applyBorder="1" applyAlignment="1">
      <alignment horizontal="center" vertical="center" shrinkToFit="1"/>
    </xf>
    <xf numFmtId="168" fontId="4" fillId="5" borderId="2" xfId="0" applyNumberFormat="1" applyFont="1" applyFill="1" applyBorder="1" applyAlignment="1">
      <alignment horizontal="center" vertical="center" wrapText="1"/>
    </xf>
    <xf numFmtId="167" fontId="4" fillId="5" borderId="2" xfId="1" applyNumberFormat="1" applyFont="1" applyFill="1" applyBorder="1" applyAlignment="1">
      <alignment horizontal="center" vertical="center" wrapText="1"/>
    </xf>
    <xf numFmtId="10" fontId="6" fillId="5" borderId="2" xfId="1" applyNumberFormat="1" applyFont="1" applyFill="1" applyBorder="1" applyAlignment="1">
      <alignment horizontal="center" vertical="center" shrinkToFit="1"/>
    </xf>
    <xf numFmtId="10" fontId="6" fillId="5" borderId="2" xfId="0" applyNumberFormat="1" applyFont="1" applyFill="1" applyBorder="1" applyAlignment="1">
      <alignment horizontal="center" vertical="center" shrinkToFit="1"/>
    </xf>
    <xf numFmtId="10" fontId="6" fillId="5" borderId="11" xfId="0" applyNumberFormat="1" applyFont="1" applyFill="1" applyBorder="1" applyAlignment="1">
      <alignment horizontal="center" vertical="center" shrinkToFit="1"/>
    </xf>
    <xf numFmtId="0" fontId="14" fillId="4" borderId="11" xfId="1" applyFont="1" applyFill="1" applyBorder="1" applyAlignment="1">
      <alignment horizontal="right" vertical="center" wrapText="1" readingOrder="2"/>
    </xf>
    <xf numFmtId="0" fontId="31" fillId="4" borderId="2" xfId="1" applyFont="1" applyFill="1" applyBorder="1" applyAlignment="1">
      <alignment horizontal="right" vertical="center" wrapText="1" readingOrder="2"/>
    </xf>
    <xf numFmtId="0" fontId="14" fillId="4" borderId="2" xfId="1" applyFont="1" applyFill="1" applyBorder="1" applyAlignment="1">
      <alignment horizontal="right" vertical="center" wrapText="1" readingOrder="2"/>
    </xf>
    <xf numFmtId="0" fontId="11" fillId="4" borderId="2" xfId="1" applyFont="1" applyFill="1" applyBorder="1" applyAlignment="1">
      <alignment horizontal="right" vertical="center" wrapText="1" readingOrder="2"/>
    </xf>
    <xf numFmtId="0" fontId="11" fillId="4" borderId="4" xfId="1" applyFont="1" applyFill="1" applyBorder="1" applyAlignment="1">
      <alignment horizontal="right" vertical="center" wrapText="1" readingOrder="2"/>
    </xf>
    <xf numFmtId="0" fontId="14" fillId="4" borderId="13" xfId="1" applyFont="1" applyFill="1" applyBorder="1" applyAlignment="1">
      <alignment horizontal="right" vertical="center" wrapText="1" readingOrder="2"/>
    </xf>
    <xf numFmtId="0" fontId="14" fillId="4" borderId="15" xfId="1" applyFont="1" applyFill="1" applyBorder="1" applyAlignment="1">
      <alignment horizontal="right" vertical="center" wrapText="1" readingOrder="2"/>
    </xf>
    <xf numFmtId="0" fontId="14" fillId="4" borderId="6" xfId="1" applyFont="1" applyFill="1" applyBorder="1" applyAlignment="1">
      <alignment horizontal="right" vertical="center" wrapText="1" readingOrder="2"/>
    </xf>
    <xf numFmtId="0" fontId="14" fillId="4" borderId="1" xfId="1" applyFont="1" applyFill="1" applyBorder="1" applyAlignment="1">
      <alignment horizontal="right" vertical="center" wrapText="1" readingOrder="2"/>
    </xf>
    <xf numFmtId="0" fontId="6" fillId="10" borderId="6" xfId="1" applyFont="1" applyFill="1" applyBorder="1" applyAlignment="1">
      <alignment horizontal="center" vertical="center" readingOrder="1"/>
    </xf>
    <xf numFmtId="0" fontId="18" fillId="9" borderId="6" xfId="1" applyFont="1" applyFill="1" applyBorder="1" applyAlignment="1">
      <alignment horizontal="right" vertical="center" indent="1" readingOrder="2"/>
    </xf>
    <xf numFmtId="0" fontId="2" fillId="0" borderId="0" xfId="1" applyFont="1" applyBorder="1" applyAlignment="1">
      <alignment horizontal="left" vertical="top" readingOrder="1"/>
    </xf>
    <xf numFmtId="0" fontId="6" fillId="0" borderId="0" xfId="1" applyFont="1" applyAlignment="1">
      <alignment horizontal="center" vertical="center" readingOrder="1"/>
    </xf>
    <xf numFmtId="3" fontId="6" fillId="5" borderId="4" xfId="1" applyNumberFormat="1" applyFont="1" applyFill="1" applyBorder="1" applyAlignment="1">
      <alignment horizontal="center" vertical="center" shrinkToFit="1" readingOrder="1"/>
    </xf>
    <xf numFmtId="1" fontId="6" fillId="5" borderId="4" xfId="1" applyNumberFormat="1" applyFont="1" applyFill="1" applyBorder="1" applyAlignment="1">
      <alignment horizontal="center" vertical="center" shrinkToFit="1" readingOrder="1"/>
    </xf>
    <xf numFmtId="1" fontId="6" fillId="5" borderId="15" xfId="1" applyNumberFormat="1" applyFont="1" applyFill="1" applyBorder="1" applyAlignment="1">
      <alignment horizontal="center" vertical="center" shrinkToFit="1" readingOrder="1"/>
    </xf>
    <xf numFmtId="0" fontId="3" fillId="6" borderId="6" xfId="1" applyFont="1" applyFill="1" applyBorder="1" applyAlignment="1">
      <alignment horizontal="right" vertical="center" wrapText="1" indent="1"/>
    </xf>
    <xf numFmtId="0" fontId="3" fillId="6" borderId="19" xfId="1" applyFont="1" applyFill="1" applyBorder="1" applyAlignment="1">
      <alignment horizontal="right" vertical="center" wrapText="1" indent="1"/>
    </xf>
    <xf numFmtId="0" fontId="18" fillId="6" borderId="6" xfId="1" applyFont="1" applyFill="1" applyBorder="1" applyAlignment="1">
      <alignment horizontal="right" vertical="center" indent="1" readingOrder="1"/>
    </xf>
    <xf numFmtId="0" fontId="3" fillId="14" borderId="6" xfId="1" applyFont="1" applyFill="1" applyBorder="1" applyAlignment="1">
      <alignment horizontal="right" vertical="center" indent="1"/>
    </xf>
    <xf numFmtId="3" fontId="6" fillId="5" borderId="11" xfId="1" applyNumberFormat="1" applyFont="1" applyFill="1" applyBorder="1" applyAlignment="1">
      <alignment horizontal="center" vertical="center" shrinkToFit="1" readingOrder="1"/>
    </xf>
    <xf numFmtId="10" fontId="18" fillId="6" borderId="6" xfId="1" applyNumberFormat="1" applyFont="1" applyFill="1" applyBorder="1" applyAlignment="1">
      <alignment horizontal="right" vertical="center" indent="1" readingOrder="1"/>
    </xf>
    <xf numFmtId="0" fontId="12" fillId="13" borderId="2" xfId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right" vertical="center" indent="1" readingOrder="1"/>
    </xf>
    <xf numFmtId="0" fontId="4" fillId="5" borderId="6" xfId="1" applyFont="1" applyFill="1" applyBorder="1" applyAlignment="1">
      <alignment horizontal="right" vertical="center" indent="1"/>
    </xf>
    <xf numFmtId="0" fontId="24" fillId="0" borderId="6" xfId="1" applyFont="1" applyBorder="1" applyAlignment="1">
      <alignment horizontal="center" vertical="center" readingOrder="1"/>
    </xf>
    <xf numFmtId="1" fontId="24" fillId="5" borderId="2" xfId="1" applyNumberFormat="1" applyFont="1" applyFill="1" applyBorder="1" applyAlignment="1">
      <alignment horizontal="center" vertical="center" shrinkToFit="1" readingOrder="1"/>
    </xf>
    <xf numFmtId="1" fontId="24" fillId="5" borderId="11" xfId="1" applyNumberFormat="1" applyFont="1" applyFill="1" applyBorder="1" applyAlignment="1">
      <alignment horizontal="center" vertical="center" shrinkToFit="1" readingOrder="1"/>
    </xf>
    <xf numFmtId="10" fontId="24" fillId="0" borderId="6" xfId="1" applyNumberFormat="1" applyFont="1" applyBorder="1" applyAlignment="1">
      <alignment horizontal="center" vertical="center" readingOrder="1"/>
    </xf>
    <xf numFmtId="10" fontId="6" fillId="6" borderId="6" xfId="1" applyNumberFormat="1" applyFont="1" applyFill="1" applyBorder="1" applyAlignment="1">
      <alignment horizontal="center" vertical="top" readingOrder="1"/>
    </xf>
    <xf numFmtId="10" fontId="6" fillId="6" borderId="6" xfId="1" applyNumberFormat="1" applyFont="1" applyFill="1" applyBorder="1" applyAlignment="1">
      <alignment horizontal="center" vertical="center" readingOrder="1"/>
    </xf>
    <xf numFmtId="0" fontId="6" fillId="5" borderId="0" xfId="1" applyFont="1" applyFill="1" applyBorder="1" applyAlignment="1">
      <alignment horizontal="center" vertical="center" readingOrder="1"/>
    </xf>
    <xf numFmtId="0" fontId="12" fillId="6" borderId="2" xfId="1" applyFont="1" applyFill="1" applyBorder="1" applyAlignment="1">
      <alignment horizontal="center" vertical="center" wrapText="1"/>
    </xf>
    <xf numFmtId="0" fontId="12" fillId="14" borderId="2" xfId="1" applyFont="1" applyFill="1" applyBorder="1" applyAlignment="1">
      <alignment horizontal="center" vertical="center" wrapText="1"/>
    </xf>
    <xf numFmtId="3" fontId="6" fillId="5" borderId="1" xfId="1" applyNumberFormat="1" applyFont="1" applyFill="1" applyBorder="1" applyAlignment="1">
      <alignment horizontal="center" vertical="center" shrinkToFit="1"/>
    </xf>
    <xf numFmtId="167" fontId="6" fillId="5" borderId="26" xfId="1" applyNumberFormat="1" applyFont="1" applyFill="1" applyBorder="1" applyAlignment="1">
      <alignment horizontal="center" vertical="center" shrinkToFit="1"/>
    </xf>
    <xf numFmtId="167" fontId="6" fillId="5" borderId="26" xfId="0" applyNumberFormat="1" applyFont="1" applyFill="1" applyBorder="1" applyAlignment="1">
      <alignment horizontal="center" vertical="center" shrinkToFit="1"/>
    </xf>
    <xf numFmtId="167" fontId="6" fillId="5" borderId="21" xfId="0" applyNumberFormat="1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vertical="center" readingOrder="2"/>
    </xf>
    <xf numFmtId="3" fontId="6" fillId="5" borderId="1" xfId="0" applyNumberFormat="1" applyFont="1" applyFill="1" applyBorder="1" applyAlignment="1">
      <alignment horizontal="center" vertical="center" shrinkToFit="1"/>
    </xf>
    <xf numFmtId="20" fontId="11" fillId="0" borderId="0" xfId="1" applyNumberFormat="1" applyFont="1" applyAlignment="1">
      <alignment horizontal="left" vertical="top"/>
    </xf>
    <xf numFmtId="167" fontId="11" fillId="0" borderId="0" xfId="1" applyNumberFormat="1" applyFont="1" applyAlignment="1">
      <alignment horizontal="left" vertical="top"/>
    </xf>
    <xf numFmtId="0" fontId="3" fillId="7" borderId="11" xfId="1" applyFont="1" applyFill="1" applyBorder="1" applyAlignment="1">
      <alignment horizontal="right" vertical="center" indent="1"/>
    </xf>
    <xf numFmtId="0" fontId="9" fillId="7" borderId="11" xfId="1" applyFont="1" applyFill="1" applyBorder="1" applyAlignment="1">
      <alignment horizontal="right" vertical="center" indent="1"/>
    </xf>
    <xf numFmtId="0" fontId="3" fillId="5" borderId="6" xfId="1" applyFont="1" applyFill="1" applyBorder="1" applyAlignment="1">
      <alignment horizontal="right" vertical="center" indent="1"/>
    </xf>
    <xf numFmtId="0" fontId="20" fillId="7" borderId="6" xfId="1" applyFont="1" applyFill="1" applyBorder="1" applyAlignment="1">
      <alignment horizontal="right" vertical="center" indent="1"/>
    </xf>
    <xf numFmtId="0" fontId="20" fillId="5" borderId="13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right" vertical="center" wrapText="1" indent="1"/>
    </xf>
    <xf numFmtId="0" fontId="4" fillId="2" borderId="6" xfId="1" applyFont="1" applyFill="1" applyBorder="1" applyAlignment="1">
      <alignment horizontal="center" vertical="center" readingOrder="1"/>
    </xf>
    <xf numFmtId="168" fontId="6" fillId="5" borderId="4" xfId="1" applyNumberFormat="1" applyFont="1" applyFill="1" applyBorder="1" applyAlignment="1">
      <alignment horizontal="center" vertical="center" shrinkToFit="1" readingOrder="1"/>
    </xf>
    <xf numFmtId="167" fontId="6" fillId="5" borderId="4" xfId="1" applyNumberFormat="1" applyFont="1" applyFill="1" applyBorder="1" applyAlignment="1">
      <alignment horizontal="center" vertical="center" shrinkToFit="1" readingOrder="1"/>
    </xf>
    <xf numFmtId="0" fontId="3" fillId="5" borderId="15" xfId="1" applyFont="1" applyFill="1" applyBorder="1" applyAlignment="1">
      <alignment horizontal="right" vertical="center" wrapText="1" indent="1"/>
    </xf>
    <xf numFmtId="4" fontId="6" fillId="7" borderId="6" xfId="1" applyNumberFormat="1" applyFont="1" applyFill="1" applyBorder="1" applyAlignment="1">
      <alignment horizontal="center" vertical="center" shrinkToFit="1" readingOrder="1"/>
    </xf>
    <xf numFmtId="2" fontId="6" fillId="7" borderId="6" xfId="1" applyNumberFormat="1" applyFont="1" applyFill="1" applyBorder="1" applyAlignment="1">
      <alignment horizontal="center" vertical="center" shrinkToFit="1" readingOrder="1"/>
    </xf>
    <xf numFmtId="164" fontId="6" fillId="7" borderId="6" xfId="1" applyNumberFormat="1" applyFont="1" applyFill="1" applyBorder="1" applyAlignment="1">
      <alignment horizontal="center" vertical="center" shrinkToFit="1" readingOrder="1"/>
    </xf>
    <xf numFmtId="0" fontId="20" fillId="7" borderId="6" xfId="1" applyFont="1" applyFill="1" applyBorder="1" applyAlignment="1">
      <alignment horizontal="center" vertical="center"/>
    </xf>
    <xf numFmtId="0" fontId="6" fillId="5" borderId="0" xfId="1" applyFont="1" applyFill="1" applyBorder="1" applyAlignment="1">
      <alignment horizontal="center" vertical="center" readingOrder="1"/>
    </xf>
    <xf numFmtId="0" fontId="24" fillId="5" borderId="0" xfId="1" applyFont="1" applyFill="1" applyBorder="1" applyAlignment="1">
      <alignment horizontal="center" vertical="center" readingOrder="1"/>
    </xf>
    <xf numFmtId="0" fontId="6" fillId="5" borderId="0" xfId="1" applyFont="1" applyFill="1" applyBorder="1" applyAlignment="1">
      <alignment horizontal="right" vertical="center" indent="1" readingOrder="1"/>
    </xf>
    <xf numFmtId="167" fontId="24" fillId="5" borderId="0" xfId="1" applyNumberFormat="1" applyFont="1" applyFill="1" applyBorder="1" applyAlignment="1">
      <alignment horizontal="center" vertical="center" readingOrder="1"/>
    </xf>
    <xf numFmtId="0" fontId="4" fillId="5" borderId="0" xfId="1" applyFont="1" applyFill="1" applyBorder="1" applyAlignment="1">
      <alignment horizontal="right" vertical="center" wrapText="1" indent="1"/>
    </xf>
    <xf numFmtId="166" fontId="5" fillId="5" borderId="0" xfId="0" applyNumberFormat="1" applyFont="1" applyFill="1" applyBorder="1" applyAlignment="1">
      <alignment horizontal="center" vertical="center" wrapText="1"/>
    </xf>
    <xf numFmtId="0" fontId="4" fillId="5" borderId="0" xfId="1" applyFont="1" applyFill="1" applyBorder="1" applyAlignment="1">
      <alignment horizontal="right" vertical="center" indent="1"/>
    </xf>
    <xf numFmtId="0" fontId="3" fillId="5" borderId="0" xfId="1" applyFont="1" applyFill="1" applyBorder="1" applyAlignment="1">
      <alignment horizontal="center" vertical="center" wrapText="1"/>
    </xf>
    <xf numFmtId="0" fontId="6" fillId="5" borderId="0" xfId="1" applyFont="1" applyFill="1" applyBorder="1" applyAlignment="1">
      <alignment horizontal="center" vertical="center" readingOrder="1"/>
    </xf>
    <xf numFmtId="0" fontId="18" fillId="5" borderId="0" xfId="1" applyFont="1" applyFill="1" applyBorder="1" applyAlignment="1">
      <alignment horizontal="center" vertical="center" readingOrder="1"/>
    </xf>
    <xf numFmtId="0" fontId="24" fillId="5" borderId="0" xfId="1" applyFont="1" applyFill="1" applyBorder="1" applyAlignment="1">
      <alignment horizontal="center" vertical="center" readingOrder="1"/>
    </xf>
    <xf numFmtId="0" fontId="2" fillId="9" borderId="20" xfId="1" applyFont="1" applyFill="1" applyBorder="1" applyAlignment="1">
      <alignment horizontal="left" vertical="top" readingOrder="1"/>
    </xf>
    <xf numFmtId="3" fontId="6" fillId="9" borderId="4" xfId="1" applyNumberFormat="1" applyFont="1" applyFill="1" applyBorder="1" applyAlignment="1">
      <alignment horizontal="center" vertical="center" shrinkToFit="1" readingOrder="1"/>
    </xf>
    <xf numFmtId="0" fontId="39" fillId="0" borderId="6" xfId="0" applyFont="1" applyBorder="1" applyAlignment="1">
      <alignment horizontal="center" vertical="center"/>
    </xf>
    <xf numFmtId="3" fontId="6" fillId="0" borderId="6" xfId="1" applyNumberFormat="1" applyFont="1" applyBorder="1" applyAlignment="1">
      <alignment horizontal="center" vertical="center" readingOrder="1"/>
    </xf>
    <xf numFmtId="1" fontId="24" fillId="5" borderId="0" xfId="1" applyNumberFormat="1" applyFont="1" applyFill="1" applyBorder="1" applyAlignment="1">
      <alignment horizontal="center" vertical="center" shrinkToFit="1" readingOrder="1"/>
    </xf>
    <xf numFmtId="3" fontId="24" fillId="5" borderId="0" xfId="1" applyNumberFormat="1" applyFont="1" applyFill="1" applyBorder="1" applyAlignment="1">
      <alignment horizontal="center" vertical="center" shrinkToFit="1" readingOrder="1"/>
    </xf>
    <xf numFmtId="10" fontId="24" fillId="5" borderId="0" xfId="1" applyNumberFormat="1" applyFont="1" applyFill="1" applyBorder="1" applyAlignment="1">
      <alignment horizontal="center" vertical="center" readingOrder="1"/>
    </xf>
    <xf numFmtId="0" fontId="4" fillId="5" borderId="0" xfId="1" applyFont="1" applyFill="1" applyBorder="1" applyAlignment="1">
      <alignment horizontal="center" vertical="center" readingOrder="1"/>
    </xf>
    <xf numFmtId="4" fontId="6" fillId="5" borderId="0" xfId="1" applyNumberFormat="1" applyFont="1" applyFill="1" applyBorder="1" applyAlignment="1">
      <alignment horizontal="center" vertical="center" shrinkToFit="1" readingOrder="1"/>
    </xf>
    <xf numFmtId="3" fontId="6" fillId="8" borderId="2" xfId="1" applyNumberFormat="1" applyFont="1" applyFill="1" applyBorder="1" applyAlignment="1">
      <alignment horizontal="center" vertical="center" shrinkToFit="1" readingOrder="1"/>
    </xf>
    <xf numFmtId="0" fontId="6" fillId="6" borderId="6" xfId="1" applyFont="1" applyFill="1" applyBorder="1" applyAlignment="1">
      <alignment horizontal="center" vertical="center" readingOrder="1"/>
    </xf>
    <xf numFmtId="1" fontId="6" fillId="8" borderId="2" xfId="1" applyNumberFormat="1" applyFont="1" applyFill="1" applyBorder="1" applyAlignment="1">
      <alignment horizontal="center" vertical="center" shrinkToFit="1" readingOrder="1"/>
    </xf>
    <xf numFmtId="0" fontId="24" fillId="0" borderId="9" xfId="1" applyFont="1" applyBorder="1" applyAlignment="1">
      <alignment horizontal="center" vertical="center" readingOrder="1"/>
    </xf>
    <xf numFmtId="3" fontId="24" fillId="5" borderId="10" xfId="1" applyNumberFormat="1" applyFont="1" applyFill="1" applyBorder="1" applyAlignment="1">
      <alignment horizontal="center" vertical="center" shrinkToFit="1" readingOrder="1"/>
    </xf>
    <xf numFmtId="10" fontId="24" fillId="0" borderId="9" xfId="1" applyNumberFormat="1" applyFont="1" applyBorder="1" applyAlignment="1">
      <alignment horizontal="center" vertical="center" readingOrder="1"/>
    </xf>
    <xf numFmtId="0" fontId="2" fillId="5" borderId="0" xfId="1" applyFont="1" applyFill="1" applyBorder="1" applyAlignment="1">
      <alignment horizontal="left" vertical="top" readingOrder="1"/>
    </xf>
    <xf numFmtId="3" fontId="24" fillId="5" borderId="6" xfId="1" applyNumberFormat="1" applyFont="1" applyFill="1" applyBorder="1" applyAlignment="1">
      <alignment horizontal="center" vertical="center" shrinkToFit="1" readingOrder="1"/>
    </xf>
    <xf numFmtId="0" fontId="12" fillId="3" borderId="23" xfId="1" applyFont="1" applyFill="1" applyBorder="1" applyAlignment="1">
      <alignment horizontal="center" vertical="center" textRotation="90" wrapText="1" readingOrder="2"/>
    </xf>
    <xf numFmtId="0" fontId="12" fillId="3" borderId="18" xfId="1" applyFont="1" applyFill="1" applyBorder="1" applyAlignment="1">
      <alignment horizontal="center" vertical="center" textRotation="90" wrapText="1" readingOrder="2"/>
    </xf>
    <xf numFmtId="0" fontId="12" fillId="3" borderId="25" xfId="1" applyFont="1" applyFill="1" applyBorder="1" applyAlignment="1">
      <alignment horizontal="center" vertical="center" textRotation="90" wrapText="1" readingOrder="2"/>
    </xf>
    <xf numFmtId="0" fontId="12" fillId="3" borderId="5" xfId="1" applyFont="1" applyFill="1" applyBorder="1" applyAlignment="1">
      <alignment horizontal="center" vertical="center" textRotation="90" wrapText="1" readingOrder="2"/>
    </xf>
    <xf numFmtId="0" fontId="12" fillId="3" borderId="3" xfId="1" applyFont="1" applyFill="1" applyBorder="1" applyAlignment="1">
      <alignment horizontal="center" vertical="center" textRotation="90" wrapText="1" readingOrder="2"/>
    </xf>
    <xf numFmtId="0" fontId="12" fillId="3" borderId="7" xfId="1" applyFont="1" applyFill="1" applyBorder="1" applyAlignment="1">
      <alignment horizontal="center" vertical="center" textRotation="90" wrapText="1" readingOrder="2"/>
    </xf>
    <xf numFmtId="0" fontId="17" fillId="3" borderId="11" xfId="1" applyFont="1" applyFill="1" applyBorder="1" applyAlignment="1">
      <alignment horizontal="right" vertical="center" wrapText="1" indent="21" readingOrder="2"/>
    </xf>
    <xf numFmtId="0" fontId="17" fillId="3" borderId="16" xfId="1" applyFont="1" applyFill="1" applyBorder="1" applyAlignment="1">
      <alignment horizontal="right" vertical="center" wrapText="1" indent="21" readingOrder="2"/>
    </xf>
    <xf numFmtId="0" fontId="17" fillId="3" borderId="10" xfId="1" applyFont="1" applyFill="1" applyBorder="1" applyAlignment="1">
      <alignment horizontal="right" vertical="center" wrapText="1" indent="21" readingOrder="2"/>
    </xf>
    <xf numFmtId="0" fontId="12" fillId="3" borderId="4" xfId="1" applyFont="1" applyFill="1" applyBorder="1" applyAlignment="1">
      <alignment horizontal="center" vertical="center" wrapText="1" readingOrder="2"/>
    </xf>
    <xf numFmtId="0" fontId="12" fillId="3" borderId="1" xfId="1" applyFont="1" applyFill="1" applyBorder="1" applyAlignment="1">
      <alignment horizontal="center" vertical="center" wrapText="1" readingOrder="2"/>
    </xf>
    <xf numFmtId="0" fontId="12" fillId="3" borderId="15" xfId="1" applyFont="1" applyFill="1" applyBorder="1" applyAlignment="1">
      <alignment horizontal="center" vertical="center" wrapText="1" readingOrder="2"/>
    </xf>
    <xf numFmtId="0" fontId="12" fillId="3" borderId="14" xfId="1" applyFont="1" applyFill="1" applyBorder="1" applyAlignment="1">
      <alignment horizontal="center" vertical="center" wrapText="1" readingOrder="2"/>
    </xf>
    <xf numFmtId="0" fontId="12" fillId="3" borderId="13" xfId="1" applyFont="1" applyFill="1" applyBorder="1" applyAlignment="1">
      <alignment horizontal="center" vertical="center" wrapText="1" readingOrder="2"/>
    </xf>
    <xf numFmtId="0" fontId="12" fillId="3" borderId="12" xfId="1" applyFont="1" applyFill="1" applyBorder="1" applyAlignment="1">
      <alignment horizontal="center" vertical="center" wrapText="1" readingOrder="2"/>
    </xf>
    <xf numFmtId="0" fontId="11" fillId="3" borderId="4" xfId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12" fillId="3" borderId="4" xfId="1" applyFont="1" applyFill="1" applyBorder="1" applyAlignment="1">
      <alignment horizontal="center" vertical="center" textRotation="90" wrapText="1" readingOrder="2"/>
    </xf>
    <xf numFmtId="0" fontId="6" fillId="5" borderId="0" xfId="1" applyFont="1" applyFill="1" applyBorder="1" applyAlignment="1">
      <alignment horizontal="center" vertical="center" readingOrder="1"/>
    </xf>
    <xf numFmtId="0" fontId="6" fillId="5" borderId="0" xfId="1" applyFont="1" applyFill="1" applyBorder="1" applyAlignment="1">
      <alignment horizontal="center" vertical="top" readingOrder="1"/>
    </xf>
    <xf numFmtId="0" fontId="4" fillId="14" borderId="19" xfId="1" applyFont="1" applyFill="1" applyBorder="1" applyAlignment="1">
      <alignment horizontal="center" vertical="center" readingOrder="1"/>
    </xf>
    <xf numFmtId="0" fontId="4" fillId="14" borderId="24" xfId="1" applyFont="1" applyFill="1" applyBorder="1" applyAlignment="1">
      <alignment horizontal="center" vertical="center" readingOrder="1"/>
    </xf>
    <xf numFmtId="0" fontId="3" fillId="5" borderId="0" xfId="1" applyFont="1" applyFill="1" applyBorder="1" applyAlignment="1">
      <alignment horizontal="center" vertical="center" wrapText="1"/>
    </xf>
    <xf numFmtId="0" fontId="18" fillId="5" borderId="0" xfId="1" applyFont="1" applyFill="1" applyBorder="1" applyAlignment="1">
      <alignment horizontal="center" vertical="center" readingOrder="1"/>
    </xf>
    <xf numFmtId="0" fontId="24" fillId="5" borderId="0" xfId="1" applyFont="1" applyFill="1" applyBorder="1" applyAlignment="1">
      <alignment horizontal="center" vertical="center" readingOrder="1"/>
    </xf>
    <xf numFmtId="0" fontId="4" fillId="14" borderId="20" xfId="1" applyFont="1" applyFill="1" applyBorder="1" applyAlignment="1">
      <alignment horizontal="center" vertical="center" readingOrder="1"/>
    </xf>
    <xf numFmtId="0" fontId="4" fillId="5" borderId="0" xfId="1" applyFont="1" applyFill="1" applyBorder="1" applyAlignment="1">
      <alignment horizontal="center" vertical="center" readingOrder="1"/>
    </xf>
    <xf numFmtId="0" fontId="4" fillId="11" borderId="27" xfId="1" applyFont="1" applyFill="1" applyBorder="1" applyAlignment="1">
      <alignment horizontal="center" vertical="center" readingOrder="1"/>
    </xf>
    <xf numFmtId="0" fontId="4" fillId="11" borderId="28" xfId="1" applyFont="1" applyFill="1" applyBorder="1" applyAlignment="1">
      <alignment horizontal="center" vertical="center" readingOrder="1"/>
    </xf>
    <xf numFmtId="0" fontId="4" fillId="11" borderId="19" xfId="1" applyFont="1" applyFill="1" applyBorder="1" applyAlignment="1">
      <alignment horizontal="center" vertical="center" readingOrder="1"/>
    </xf>
    <xf numFmtId="0" fontId="4" fillId="11" borderId="24" xfId="1" applyFont="1" applyFill="1" applyBorder="1" applyAlignment="1">
      <alignment horizontal="center" vertical="center" readingOrder="1"/>
    </xf>
    <xf numFmtId="0" fontId="2" fillId="5" borderId="0" xfId="1" applyFont="1" applyFill="1" applyBorder="1" applyAlignment="1">
      <alignment horizontal="center" vertical="top" readingOrder="1"/>
    </xf>
    <xf numFmtId="0" fontId="6" fillId="6" borderId="6" xfId="1" applyFont="1" applyFill="1" applyBorder="1" applyAlignment="1">
      <alignment horizontal="center" vertical="center" readingOrder="1"/>
    </xf>
    <xf numFmtId="0" fontId="25" fillId="11" borderId="6" xfId="1" applyFont="1" applyFill="1" applyBorder="1" applyAlignment="1">
      <alignment horizontal="center" vertical="center" readingOrder="1"/>
    </xf>
    <xf numFmtId="0" fontId="4" fillId="11" borderId="6" xfId="1" applyFont="1" applyFill="1" applyBorder="1" applyAlignment="1">
      <alignment horizontal="center" vertical="center" readingOrder="1"/>
    </xf>
    <xf numFmtId="0" fontId="4" fillId="11" borderId="20" xfId="1" applyFont="1" applyFill="1" applyBorder="1" applyAlignment="1">
      <alignment horizontal="center" vertical="center" readingOrder="1"/>
    </xf>
    <xf numFmtId="0" fontId="3" fillId="6" borderId="6" xfId="1" applyFont="1" applyFill="1" applyBorder="1" applyAlignment="1">
      <alignment horizontal="center" vertical="center" wrapText="1"/>
    </xf>
    <xf numFmtId="0" fontId="3" fillId="6" borderId="6" xfId="1" applyFont="1" applyFill="1" applyBorder="1" applyAlignment="1">
      <alignment horizontal="right" vertical="center" indent="2"/>
    </xf>
    <xf numFmtId="0" fontId="3" fillId="6" borderId="6" xfId="1" applyFont="1" applyFill="1" applyBorder="1" applyAlignment="1">
      <alignment horizontal="right" vertical="center" indent="1"/>
    </xf>
    <xf numFmtId="0" fontId="3" fillId="5" borderId="0" xfId="1" applyFont="1" applyFill="1" applyBorder="1" applyAlignment="1">
      <alignment horizontal="right" vertical="center" indent="2"/>
    </xf>
    <xf numFmtId="0" fontId="3" fillId="5" borderId="0" xfId="1" applyFont="1" applyFill="1" applyBorder="1" applyAlignment="1">
      <alignment horizontal="right" vertical="center" indent="1"/>
    </xf>
    <xf numFmtId="0" fontId="25" fillId="5" borderId="0" xfId="1" applyFont="1" applyFill="1" applyBorder="1" applyAlignment="1">
      <alignment horizontal="center" vertical="center" readingOrder="1"/>
    </xf>
    <xf numFmtId="0" fontId="2" fillId="12" borderId="6" xfId="1" applyFont="1" applyFill="1" applyBorder="1" applyAlignment="1">
      <alignment horizontal="center" vertical="top" readingOrder="1"/>
    </xf>
    <xf numFmtId="0" fontId="3" fillId="8" borderId="6" xfId="1" applyFont="1" applyFill="1" applyBorder="1" applyAlignment="1">
      <alignment horizontal="center"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23" fillId="7" borderId="6" xfId="1" applyFont="1" applyFill="1" applyBorder="1" applyAlignment="1">
      <alignment horizontal="center" vertical="center" readingOrder="1"/>
    </xf>
    <xf numFmtId="0" fontId="5" fillId="2" borderId="19" xfId="1" applyFont="1" applyFill="1" applyBorder="1" applyAlignment="1">
      <alignment horizontal="center" vertical="center" textRotation="90" readingOrder="1"/>
    </xf>
    <xf numFmtId="0" fontId="5" fillId="2" borderId="22" xfId="1" applyFont="1" applyFill="1" applyBorder="1" applyAlignment="1">
      <alignment horizontal="center" vertical="center" textRotation="90" readingOrder="1"/>
    </xf>
    <xf numFmtId="0" fontId="5" fillId="2" borderId="6" xfId="1" applyFont="1" applyFill="1" applyBorder="1" applyAlignment="1">
      <alignment horizontal="center" vertical="center" textRotation="90" readingOrder="1"/>
    </xf>
    <xf numFmtId="167" fontId="24" fillId="5" borderId="0" xfId="1" applyNumberFormat="1" applyFont="1" applyFill="1" applyBorder="1" applyAlignment="1">
      <alignment horizontal="center" vertical="center" readingOrder="1"/>
    </xf>
    <xf numFmtId="0" fontId="4" fillId="2" borderId="6" xfId="1" applyFont="1" applyFill="1" applyBorder="1" applyAlignment="1">
      <alignment horizontal="center" vertical="center" readingOrder="1"/>
    </xf>
    <xf numFmtId="0" fontId="40" fillId="0" borderId="6" xfId="1" applyFont="1" applyBorder="1" applyAlignment="1">
      <alignment horizontal="center" vertical="center" readingOrder="1"/>
    </xf>
    <xf numFmtId="3" fontId="40" fillId="5" borderId="6" xfId="1" applyNumberFormat="1" applyFont="1" applyFill="1" applyBorder="1" applyAlignment="1">
      <alignment horizontal="center" vertical="center" shrinkToFit="1" readingOrder="1"/>
    </xf>
    <xf numFmtId="3" fontId="40" fillId="5" borderId="10" xfId="1" applyNumberFormat="1" applyFont="1" applyFill="1" applyBorder="1" applyAlignment="1">
      <alignment horizontal="center" vertical="center" shrinkToFit="1" readingOrder="1"/>
    </xf>
    <xf numFmtId="3" fontId="40" fillId="5" borderId="2" xfId="1" applyNumberFormat="1" applyFont="1" applyFill="1" applyBorder="1" applyAlignment="1">
      <alignment horizontal="center" vertical="center" shrinkToFit="1" readingOrder="1"/>
    </xf>
    <xf numFmtId="1" fontId="40" fillId="5" borderId="2" xfId="1" applyNumberFormat="1" applyFont="1" applyFill="1" applyBorder="1" applyAlignment="1">
      <alignment horizontal="center" vertical="center" shrinkToFit="1" readingOrder="1"/>
    </xf>
    <xf numFmtId="1" fontId="40" fillId="5" borderId="11" xfId="1" applyNumberFormat="1" applyFont="1" applyFill="1" applyBorder="1" applyAlignment="1">
      <alignment horizontal="center" vertical="center" shrinkToFit="1" readingOrder="1"/>
    </xf>
    <xf numFmtId="0" fontId="40" fillId="0" borderId="9" xfId="1" applyFont="1" applyBorder="1" applyAlignment="1">
      <alignment horizontal="center" vertical="center" readingOrder="1"/>
    </xf>
    <xf numFmtId="10" fontId="40" fillId="0" borderId="6" xfId="1" applyNumberFormat="1" applyFont="1" applyBorder="1" applyAlignment="1">
      <alignment horizontal="center" vertical="center" readingOrder="1"/>
    </xf>
    <xf numFmtId="10" fontId="40" fillId="0" borderId="9" xfId="1" applyNumberFormat="1" applyFont="1" applyBorder="1" applyAlignment="1">
      <alignment horizontal="center" vertical="center" readingOrder="1"/>
    </xf>
  </cellXfs>
  <cellStyles count="2">
    <cellStyle name="Normal" xfId="0" builtinId="0"/>
    <cellStyle name="Normal 2" xfId="1" xr:uid="{37140012-3C50-4EA7-B649-2D5233FD1611}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b="0">
                <a:cs typeface="B Titr" panose="00000700000000000000" pitchFamily="2" charset="-78"/>
              </a:rPr>
              <a:t>میزان ضایعات برگشتی به تولید</a:t>
            </a:r>
            <a:endParaRPr lang="en-US" b="0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خلاصه عملکرد ماهانه'!$L$3</c:f>
              <c:strCache>
                <c:ptCount val="1"/>
                <c:pt idx="0">
                  <c:v>میزان کل ذوب ساخته شده  (Kg)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 خلاصه عملکرد ماهانه'!$A$2:$L$2</c15:sqref>
                  </c15:fullRef>
                </c:ext>
              </c:extLst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خلاصه عملکرد ماهانه'!$A$3:$L$3</c15:sqref>
                  </c15:fullRef>
                </c:ext>
              </c:extLst>
              <c:f>' خلاصه عملکرد ماهانه'!$A$3:$K$3</c:f>
              <c:numCache>
                <c:formatCode>#,##0</c:formatCode>
                <c:ptCount val="11"/>
                <c:pt idx="0">
                  <c:v>2453975</c:v>
                </c:pt>
                <c:pt idx="1">
                  <c:v>2904775</c:v>
                </c:pt>
                <c:pt idx="2">
                  <c:v>2768250</c:v>
                </c:pt>
                <c:pt idx="3">
                  <c:v>1861325</c:v>
                </c:pt>
                <c:pt idx="4">
                  <c:v>2466850</c:v>
                </c:pt>
                <c:pt idx="5">
                  <c:v>3409600</c:v>
                </c:pt>
                <c:pt idx="6">
                  <c:v>2593775</c:v>
                </c:pt>
                <c:pt idx="7">
                  <c:v>2009225</c:v>
                </c:pt>
                <c:pt idx="8">
                  <c:v>2772275</c:v>
                </c:pt>
                <c:pt idx="9">
                  <c:v>2645405</c:v>
                </c:pt>
                <c:pt idx="10">
                  <c:v>1234585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C-4087-A33E-10D5BE1FD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26686208"/>
        <c:axId val="426684288"/>
      </c:barChart>
      <c:lineChart>
        <c:grouping val="standard"/>
        <c:varyColors val="0"/>
        <c:ser>
          <c:idx val="1"/>
          <c:order val="1"/>
          <c:tx>
            <c:strRef>
              <c:f>' خلاصه عملکرد ماهانه'!$L$24</c:f>
              <c:strCache>
                <c:ptCount val="1"/>
                <c:pt idx="0">
                  <c:v>تناژ ضایعات برگشتی (تن)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 خلاصه عملکرد ماهانه'!$A$2:$L$2</c15:sqref>
                  </c15:fullRef>
                </c:ext>
              </c:extLst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خلاصه عملکرد ماهانه'!$A$24:$L$24</c15:sqref>
                  </c15:fullRef>
                </c:ext>
              </c:extLst>
              <c:f>' خلاصه عملکرد ماهانه'!$A$24:$K$24</c:f>
              <c:numCache>
                <c:formatCode>#,##0</c:formatCode>
                <c:ptCount val="11"/>
                <c:pt idx="0">
                  <c:v>20</c:v>
                </c:pt>
                <c:pt idx="1">
                  <c:v>47</c:v>
                </c:pt>
                <c:pt idx="2">
                  <c:v>20</c:v>
                </c:pt>
                <c:pt idx="3">
                  <c:v>24</c:v>
                </c:pt>
                <c:pt idx="4">
                  <c:v>22</c:v>
                </c:pt>
                <c:pt idx="5">
                  <c:v>74</c:v>
                </c:pt>
                <c:pt idx="6">
                  <c:v>120</c:v>
                </c:pt>
                <c:pt idx="7">
                  <c:v>60</c:v>
                </c:pt>
                <c:pt idx="8">
                  <c:v>110</c:v>
                </c:pt>
                <c:pt idx="9">
                  <c:v>55</c:v>
                </c:pt>
                <c:pt idx="1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CC-4087-A33E-10D5BE1FD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6003343"/>
        <c:axId val="1986002383"/>
      </c:lineChart>
      <c:catAx>
        <c:axId val="198600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02383"/>
        <c:crosses val="autoZero"/>
        <c:auto val="1"/>
        <c:lblAlgn val="ctr"/>
        <c:lblOffset val="100"/>
        <c:noMultiLvlLbl val="0"/>
      </c:catAx>
      <c:valAx>
        <c:axId val="198600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03343"/>
        <c:crosses val="autoZero"/>
        <c:crossBetween val="between"/>
      </c:valAx>
      <c:valAx>
        <c:axId val="42668428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686208"/>
        <c:crosses val="max"/>
        <c:crossBetween val="between"/>
      </c:valAx>
      <c:catAx>
        <c:axId val="42668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6684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b="1">
                <a:cs typeface="B Titr" panose="00000700000000000000" pitchFamily="2" charset="-78"/>
              </a:rPr>
              <a:t>روند تولید</a:t>
            </a:r>
            <a:endParaRPr lang="en-US" b="1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خلاصه عملکرد ماهانه'!$L$4</c:f>
              <c:strCache>
                <c:ptCount val="1"/>
                <c:pt idx="0">
                  <c:v>میزان کل تولید 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  <c:extLst/>
            </c:strRef>
          </c:cat>
          <c:val>
            <c:numRef>
              <c:f>' خلاصه عملکرد ماهانه'!$A$4:$K$4</c:f>
              <c:numCache>
                <c:formatCode>#,##0</c:formatCode>
                <c:ptCount val="11"/>
                <c:pt idx="0">
                  <c:v>2434475</c:v>
                </c:pt>
                <c:pt idx="1">
                  <c:v>2857275</c:v>
                </c:pt>
                <c:pt idx="2">
                  <c:v>2748450</c:v>
                </c:pt>
                <c:pt idx="3">
                  <c:v>1836725</c:v>
                </c:pt>
                <c:pt idx="4">
                  <c:v>2445150</c:v>
                </c:pt>
                <c:pt idx="5">
                  <c:v>3336850</c:v>
                </c:pt>
                <c:pt idx="6">
                  <c:v>2471675</c:v>
                </c:pt>
                <c:pt idx="7">
                  <c:v>1948975</c:v>
                </c:pt>
                <c:pt idx="8">
                  <c:v>2662275</c:v>
                </c:pt>
                <c:pt idx="9">
                  <c:v>2589975</c:v>
                </c:pt>
                <c:pt idx="10">
                  <c:v>1195585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5312-4E47-8F84-A4591C00B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01919231"/>
        <c:axId val="201915871"/>
        <c:extLst/>
      </c:barChart>
      <c:lineChart>
        <c:grouping val="standard"/>
        <c:varyColors val="0"/>
        <c:ser>
          <c:idx val="1"/>
          <c:order val="1"/>
          <c:tx>
            <c:strRef>
              <c:f>' خلاصه عملکرد ماهانه'!$L$19</c:f>
              <c:strCache>
                <c:ptCount val="1"/>
                <c:pt idx="0">
                  <c:v>نرخ تولید (بدون کسر توقفات)  ( Kg/Min 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ماهانه'!$A$19:$K$19</c:f>
              <c:numCache>
                <c:formatCode>#,##0.00</c:formatCode>
                <c:ptCount val="11"/>
                <c:pt idx="0">
                  <c:v>84.12</c:v>
                </c:pt>
                <c:pt idx="1">
                  <c:v>83.93</c:v>
                </c:pt>
                <c:pt idx="2">
                  <c:v>84.38</c:v>
                </c:pt>
                <c:pt idx="3">
                  <c:v>78.13</c:v>
                </c:pt>
                <c:pt idx="4">
                  <c:v>80.459999999999994</c:v>
                </c:pt>
                <c:pt idx="5">
                  <c:v>84.6</c:v>
                </c:pt>
                <c:pt idx="6" formatCode="0.00">
                  <c:v>83.91</c:v>
                </c:pt>
                <c:pt idx="7" formatCode="0.00">
                  <c:v>86.57</c:v>
                </c:pt>
                <c:pt idx="8" formatCode="0.0">
                  <c:v>94.56</c:v>
                </c:pt>
                <c:pt idx="9" formatCode="0.00">
                  <c:v>84.29</c:v>
                </c:pt>
                <c:pt idx="10" formatCode="0.0">
                  <c:v>80.180000000000007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312-4E47-8F84-A4591C00B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57967"/>
        <c:axId val="74057487"/>
      </c:lineChart>
      <c:catAx>
        <c:axId val="7405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74057487"/>
        <c:crosses val="autoZero"/>
        <c:auto val="1"/>
        <c:lblAlgn val="ctr"/>
        <c:lblOffset val="100"/>
        <c:noMultiLvlLbl val="0"/>
      </c:catAx>
      <c:valAx>
        <c:axId val="74057487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7967"/>
        <c:crosses val="autoZero"/>
        <c:crossBetween val="between"/>
      </c:valAx>
      <c:valAx>
        <c:axId val="201915871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19231"/>
        <c:crosses val="max"/>
        <c:crossBetween val="between"/>
      </c:valAx>
      <c:catAx>
        <c:axId val="2019192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9158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نرخ موفقیت ذوب های کل تولید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4059407"/>
        <c:axId val="74056527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 خلاصه عملکرد ماهانه'!$L$19</c15:sqref>
                        </c15:formulaRef>
                      </c:ext>
                    </c:extLst>
                    <c:strCache>
                      <c:ptCount val="1"/>
                      <c:pt idx="0">
                        <c:v>نرخ تولید (بدون کسر توقفات)  ( Kg/Min 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 خلاصه عملکرد ماهانه'!$A$115:$K$116</c15:sqref>
                        </c15:fullRef>
                        <c15:formulaRef>
                          <c15:sqref>' خلاصه عملکرد ماهانه'!$A$115:$K$116</c15:sqref>
                        </c15:formulaRef>
                      </c:ext>
                    </c:extLst>
                    <c:strCache>
                      <c:ptCount val="11"/>
                      <c:pt idx="0">
                        <c:v>اسفند</c:v>
                      </c:pt>
                      <c:pt idx="1">
                        <c:v>بهمن</c:v>
                      </c:pt>
                      <c:pt idx="2">
                        <c:v>دی</c:v>
                      </c:pt>
                      <c:pt idx="3">
                        <c:v>آذر</c:v>
                      </c:pt>
                      <c:pt idx="4">
                        <c:v>آبان</c:v>
                      </c:pt>
                      <c:pt idx="5">
                        <c:v>مهر</c:v>
                      </c:pt>
                      <c:pt idx="6">
                        <c:v>شهریور</c:v>
                      </c:pt>
                      <c:pt idx="7">
                        <c:v>مرداد</c:v>
                      </c:pt>
                      <c:pt idx="8">
                        <c:v>خرداد</c:v>
                      </c:pt>
                      <c:pt idx="9">
                        <c:v>اردیبهشت</c:v>
                      </c:pt>
                      <c:pt idx="10">
                        <c:v>فروردین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 خلاصه عملکرد ماهانه'!$A$19:$L$19</c15:sqref>
                        </c15:fullRef>
                        <c15:formulaRef>
                          <c15:sqref>' خلاصه عملکرد ماهانه'!$A$19:$K$19</c15:sqref>
                        </c15:formulaRef>
                      </c:ext>
                    </c:extLst>
                    <c:numCache>
                      <c:formatCode>#,##0.00</c:formatCode>
                      <c:ptCount val="11"/>
                      <c:pt idx="0">
                        <c:v>84.12</c:v>
                      </c:pt>
                      <c:pt idx="1">
                        <c:v>83.93</c:v>
                      </c:pt>
                      <c:pt idx="2">
                        <c:v>84.38</c:v>
                      </c:pt>
                      <c:pt idx="3">
                        <c:v>78.13</c:v>
                      </c:pt>
                      <c:pt idx="4">
                        <c:v>80.459999999999994</c:v>
                      </c:pt>
                      <c:pt idx="5">
                        <c:v>84.6</c:v>
                      </c:pt>
                      <c:pt idx="6" formatCode="0.00">
                        <c:v>83.91</c:v>
                      </c:pt>
                      <c:pt idx="7" formatCode="0.00">
                        <c:v>86.57</c:v>
                      </c:pt>
                      <c:pt idx="8" formatCode="0.0">
                        <c:v>94.56</c:v>
                      </c:pt>
                      <c:pt idx="9" formatCode="0.00">
                        <c:v>84.29</c:v>
                      </c:pt>
                      <c:pt idx="10" formatCode="0.0">
                        <c:v>80.180000000000007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EDE-413E-BBDB-2004FC98B76B}"/>
                  </c:ext>
                </c:extLst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1"/>
          <c:order val="0"/>
          <c:tx>
            <c:strRef>
              <c:f>' خلاصه عملکرد ماهانه'!$L$4</c:f>
              <c:strCache>
                <c:ptCount val="1"/>
                <c:pt idx="0">
                  <c:v>میزان کل تولید  (Kg)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 خلاصه عملکرد ماهانه'!$A$2:$K$2</c15:sqref>
                  </c15:fullRef>
                </c:ext>
              </c:extLst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خلاصه عملکرد ماهانه'!$A$4:$K$4</c15:sqref>
                  </c15:fullRef>
                </c:ext>
              </c:extLst>
              <c:f>' خلاصه عملکرد ماهانه'!$A$4:$K$4</c:f>
              <c:numCache>
                <c:formatCode>#,##0</c:formatCode>
                <c:ptCount val="11"/>
                <c:pt idx="0">
                  <c:v>2434475</c:v>
                </c:pt>
                <c:pt idx="1">
                  <c:v>2857275</c:v>
                </c:pt>
                <c:pt idx="2">
                  <c:v>2748450</c:v>
                </c:pt>
                <c:pt idx="3">
                  <c:v>1836725</c:v>
                </c:pt>
                <c:pt idx="4">
                  <c:v>2445150</c:v>
                </c:pt>
                <c:pt idx="5">
                  <c:v>3336850</c:v>
                </c:pt>
                <c:pt idx="6">
                  <c:v>2471675</c:v>
                </c:pt>
                <c:pt idx="7">
                  <c:v>1948975</c:v>
                </c:pt>
                <c:pt idx="8">
                  <c:v>2662275</c:v>
                </c:pt>
                <c:pt idx="9">
                  <c:v>2589975</c:v>
                </c:pt>
                <c:pt idx="10">
                  <c:v>1195585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97-4762-B16E-4526F0242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43336447"/>
        <c:axId val="243323967"/>
      </c:barChart>
      <c:lineChart>
        <c:grouping val="standard"/>
        <c:varyColors val="0"/>
        <c:ser>
          <c:idx val="2"/>
          <c:order val="2"/>
          <c:tx>
            <c:strRef>
              <c:f>' خلاصه عملکرد ماهانه'!$L$119</c:f>
              <c:strCache>
                <c:ptCount val="1"/>
                <c:pt idx="0">
                  <c:v>نرخ موفقیت ذوب (درصد)</c:v>
                </c:pt>
              </c:strCache>
            </c:strRef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 خلاصه عملکرد ماهانه'!$A$115:$K$116</c15:sqref>
                  </c15:fullRef>
                </c:ext>
              </c:extLst>
              <c:f>' خلاصه عملکرد ماهانه'!$A$115:$K$116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خلاصه عملکرد ماهانه'!$A$119:$K$119</c15:sqref>
                  </c15:fullRef>
                </c:ext>
              </c:extLst>
              <c:f>' خلاصه عملکرد ماهانه'!$A$119:$K$119</c:f>
              <c:numCache>
                <c:formatCode>0.00%</c:formatCode>
                <c:ptCount val="11"/>
                <c:pt idx="0">
                  <c:v>0.99050000000000005</c:v>
                </c:pt>
                <c:pt idx="1">
                  <c:v>0.97170000000000001</c:v>
                </c:pt>
                <c:pt idx="2">
                  <c:v>0.96750000000000003</c:v>
                </c:pt>
                <c:pt idx="3">
                  <c:v>0.9375</c:v>
                </c:pt>
                <c:pt idx="4">
                  <c:v>0.93689999999999996</c:v>
                </c:pt>
                <c:pt idx="5">
                  <c:v>0.93059999999999998</c:v>
                </c:pt>
                <c:pt idx="6">
                  <c:v>0.92310000000000003</c:v>
                </c:pt>
                <c:pt idx="7">
                  <c:v>0.9163</c:v>
                </c:pt>
                <c:pt idx="8">
                  <c:v>0.93230000000000002</c:v>
                </c:pt>
                <c:pt idx="9">
                  <c:v>0.94210000000000005</c:v>
                </c:pt>
                <c:pt idx="10">
                  <c:v>0.92589999999999995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C-413A-B303-09025349B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59407"/>
        <c:axId val="74056527"/>
      </c:lineChart>
      <c:catAx>
        <c:axId val="740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6527"/>
        <c:crosses val="autoZero"/>
        <c:auto val="1"/>
        <c:lblAlgn val="ctr"/>
        <c:lblOffset val="100"/>
        <c:noMultiLvlLbl val="0"/>
      </c:catAx>
      <c:valAx>
        <c:axId val="74056527"/>
        <c:scaling>
          <c:orientation val="minMax"/>
        </c:scaling>
        <c:delete val="0"/>
        <c:axPos val="r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9407"/>
        <c:crosses val="max"/>
        <c:crossBetween val="between"/>
      </c:valAx>
      <c:valAx>
        <c:axId val="243323967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36447"/>
        <c:crosses val="autoZero"/>
        <c:crossBetween val="between"/>
      </c:valAx>
      <c:catAx>
        <c:axId val="243336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33239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 متوسط</a:t>
            </a:r>
            <a:r>
              <a:rPr lang="fa-IR" baseline="0">
                <a:cs typeface="B Titr" panose="00000700000000000000" pitchFamily="2" charset="-78"/>
              </a:rPr>
              <a:t> زمان ذوب به میزان کل تولید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خلاصه عملکرد ماهانه'!$L$4</c:f>
              <c:strCache>
                <c:ptCount val="1"/>
                <c:pt idx="0">
                  <c:v>میزان کل تولید  (Kg)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 خلاصه عملکرد ماهانه'!$A$2:$K$2</c15:sqref>
                  </c15:fullRef>
                </c:ext>
              </c:extLst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خلاصه عملکرد ماهانه'!$A$4:$L$4</c15:sqref>
                  </c15:fullRef>
                </c:ext>
              </c:extLst>
              <c:f>' خلاصه عملکرد ماهانه'!$A$4:$K$4</c:f>
              <c:numCache>
                <c:formatCode>#,##0</c:formatCode>
                <c:ptCount val="11"/>
                <c:pt idx="0">
                  <c:v>2434475</c:v>
                </c:pt>
                <c:pt idx="1">
                  <c:v>2857275</c:v>
                </c:pt>
                <c:pt idx="2">
                  <c:v>2748450</c:v>
                </c:pt>
                <c:pt idx="3">
                  <c:v>1836725</c:v>
                </c:pt>
                <c:pt idx="4">
                  <c:v>2445150</c:v>
                </c:pt>
                <c:pt idx="5">
                  <c:v>3336850</c:v>
                </c:pt>
                <c:pt idx="6">
                  <c:v>2471675</c:v>
                </c:pt>
                <c:pt idx="7">
                  <c:v>1948975</c:v>
                </c:pt>
                <c:pt idx="8">
                  <c:v>2662275</c:v>
                </c:pt>
                <c:pt idx="9">
                  <c:v>2589975</c:v>
                </c:pt>
                <c:pt idx="10">
                  <c:v>1195585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0-4CEC-8962-26401E6E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78081152"/>
        <c:axId val="478072032"/>
      </c:barChart>
      <c:lineChart>
        <c:grouping val="standard"/>
        <c:varyColors val="0"/>
        <c:ser>
          <c:idx val="1"/>
          <c:order val="1"/>
          <c:tx>
            <c:strRef>
              <c:f>' خلاصه عملکرد ماهانه'!$L$17</c:f>
              <c:strCache>
                <c:ptCount val="1"/>
                <c:pt idx="0">
                  <c:v>متوسط زمان ذوب  ( دقیقه )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 خلاصه عملکرد ماهانه'!$A$2:$K$2</c15:sqref>
                  </c15:fullRef>
                </c:ext>
              </c:extLst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 خلاصه عملکرد ماهانه'!$A$17:$K$17</c15:sqref>
                  </c15:fullRef>
                </c:ext>
              </c:extLst>
              <c:f>' خلاصه عملکرد ماهانه'!$A$17:$K$17</c:f>
              <c:numCache>
                <c:formatCode>[h]:mm</c:formatCode>
                <c:ptCount val="11"/>
                <c:pt idx="0">
                  <c:v>0.18333333333333335</c:v>
                </c:pt>
                <c:pt idx="1">
                  <c:v>0.18472222222222223</c:v>
                </c:pt>
                <c:pt idx="2">
                  <c:v>0.18124999999999999</c:v>
                </c:pt>
                <c:pt idx="3">
                  <c:v>0.20972222222222223</c:v>
                </c:pt>
                <c:pt idx="4">
                  <c:v>0.19791666666666666</c:v>
                </c:pt>
                <c:pt idx="5">
                  <c:v>0.18472222222222223</c:v>
                </c:pt>
                <c:pt idx="6" formatCode="h:mm;@">
                  <c:v>0.17916666666666667</c:v>
                </c:pt>
                <c:pt idx="7" formatCode="h:mm">
                  <c:v>0.16597222222222222</c:v>
                </c:pt>
                <c:pt idx="8" formatCode="h:mm;@">
                  <c:v>0.15069444444444444</c:v>
                </c:pt>
                <c:pt idx="9" formatCode="h:mm">
                  <c:v>0.17777777777777778</c:v>
                </c:pt>
                <c:pt idx="10" formatCode="h:mm;@">
                  <c:v>0.20416666666666669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84-4451-B246-ABC2337A2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13407"/>
        <c:axId val="152804287"/>
      </c:lineChart>
      <c:catAx>
        <c:axId val="15281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4287"/>
        <c:crosses val="autoZero"/>
        <c:auto val="1"/>
        <c:lblAlgn val="ctr"/>
        <c:lblOffset val="100"/>
        <c:noMultiLvlLbl val="0"/>
      </c:catAx>
      <c:valAx>
        <c:axId val="15280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13407"/>
        <c:crosses val="autoZero"/>
        <c:crossBetween val="between"/>
      </c:valAx>
      <c:valAx>
        <c:axId val="478072032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81152"/>
        <c:crosses val="max"/>
        <c:crossBetween val="between"/>
      </c:valAx>
      <c:catAx>
        <c:axId val="478081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8072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مقایسه ماهیانه تولید شمش نرمال فولادی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خلاصه عملکرد ماهانه'!$L$12</c:f>
              <c:strCache>
                <c:ptCount val="1"/>
                <c:pt idx="0">
                  <c:v>تعداد کل ذوبها  ( عدد )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ماهانه'!$A$12:$K$12</c:f>
              <c:numCache>
                <c:formatCode>#,##0</c:formatCode>
                <c:ptCount val="11"/>
                <c:pt idx="0">
                  <c:v>109</c:v>
                </c:pt>
                <c:pt idx="1">
                  <c:v>135</c:v>
                </c:pt>
                <c:pt idx="2">
                  <c:v>123</c:v>
                </c:pt>
                <c:pt idx="3">
                  <c:v>80</c:v>
                </c:pt>
                <c:pt idx="4">
                  <c:v>111</c:v>
                </c:pt>
                <c:pt idx="5">
                  <c:v>144</c:v>
                </c:pt>
                <c:pt idx="6" formatCode="0">
                  <c:v>117</c:v>
                </c:pt>
                <c:pt idx="7" formatCode="0">
                  <c:v>98</c:v>
                </c:pt>
                <c:pt idx="8" formatCode="0">
                  <c:v>133</c:v>
                </c:pt>
                <c:pt idx="9" formatCode="0">
                  <c:v>121</c:v>
                </c:pt>
                <c:pt idx="10" formatCode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7-4FDC-B234-13C11160F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52829247"/>
        <c:axId val="152814847"/>
      </c:barChart>
      <c:lineChart>
        <c:grouping val="standard"/>
        <c:varyColors val="0"/>
        <c:ser>
          <c:idx val="1"/>
          <c:order val="1"/>
          <c:tx>
            <c:strRef>
              <c:f>' خلاصه عملکرد ماهانه'!$L$36</c:f>
              <c:strCache>
                <c:ptCount val="1"/>
                <c:pt idx="0">
                  <c:v>تعداد شمش نرمال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ماهانه'!$A$36:$K$36</c:f>
              <c:numCache>
                <c:formatCode>#,##0</c:formatCode>
                <c:ptCount val="11"/>
                <c:pt idx="0">
                  <c:v>108</c:v>
                </c:pt>
                <c:pt idx="1">
                  <c:v>162</c:v>
                </c:pt>
                <c:pt idx="2">
                  <c:v>135</c:v>
                </c:pt>
                <c:pt idx="3">
                  <c:v>85</c:v>
                </c:pt>
                <c:pt idx="4">
                  <c:v>80</c:v>
                </c:pt>
                <c:pt idx="5">
                  <c:v>111</c:v>
                </c:pt>
                <c:pt idx="6" formatCode="General">
                  <c:v>88</c:v>
                </c:pt>
                <c:pt idx="7" formatCode="0">
                  <c:v>104</c:v>
                </c:pt>
                <c:pt idx="8" formatCode="0">
                  <c:v>142</c:v>
                </c:pt>
                <c:pt idx="9" formatCode="0">
                  <c:v>138</c:v>
                </c:pt>
                <c:pt idx="10" formatCode="0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4-4929-ABEC-DC9E0FBE6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29247"/>
        <c:axId val="152814847"/>
      </c:lineChart>
      <c:catAx>
        <c:axId val="15282924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14847"/>
        <c:crosses val="autoZero"/>
        <c:auto val="1"/>
        <c:lblAlgn val="ctr"/>
        <c:lblOffset val="100"/>
        <c:noMultiLvlLbl val="0"/>
      </c:catAx>
      <c:valAx>
        <c:axId val="15281484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2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تعداد ذوب ریخته</a:t>
            </a:r>
            <a:r>
              <a:rPr lang="fa-IR" baseline="0">
                <a:cs typeface="B Titr" panose="00000700000000000000" pitchFamily="2" charset="-78"/>
              </a:rPr>
              <a:t> گری ناقص </a:t>
            </a:r>
            <a:r>
              <a:rPr lang="fa-IR">
                <a:cs typeface="B Titr" panose="00000700000000000000" pitchFamily="2" charset="-78"/>
              </a:rPr>
              <a:t>نسبت به کل ذوب</a:t>
            </a:r>
            <a:r>
              <a:rPr lang="fa-IR" baseline="0">
                <a:cs typeface="B Titr" panose="00000700000000000000" pitchFamily="2" charset="-78"/>
              </a:rPr>
              <a:t> ها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خلاصه عملکرد ماهانه'!$L$60</c:f>
              <c:strCache>
                <c:ptCount val="1"/>
                <c:pt idx="0">
                  <c:v>تعداد کل ذوبها  ( عدد 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ماهانه'!$A$60:$K$60</c:f>
              <c:numCache>
                <c:formatCode>#,##0</c:formatCode>
                <c:ptCount val="11"/>
                <c:pt idx="0">
                  <c:v>109</c:v>
                </c:pt>
                <c:pt idx="1">
                  <c:v>135</c:v>
                </c:pt>
                <c:pt idx="2">
                  <c:v>123</c:v>
                </c:pt>
                <c:pt idx="3">
                  <c:v>80</c:v>
                </c:pt>
                <c:pt idx="4">
                  <c:v>111</c:v>
                </c:pt>
                <c:pt idx="5">
                  <c:v>144</c:v>
                </c:pt>
                <c:pt idx="6" formatCode="0">
                  <c:v>117</c:v>
                </c:pt>
                <c:pt idx="7" formatCode="0">
                  <c:v>98</c:v>
                </c:pt>
                <c:pt idx="8" formatCode="0">
                  <c:v>133</c:v>
                </c:pt>
                <c:pt idx="9" formatCode="0">
                  <c:v>121</c:v>
                </c:pt>
                <c:pt idx="10" formatCode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7-4D85-94C8-1BBCE80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36943648"/>
        <c:axId val="536944128"/>
      </c:barChart>
      <c:lineChart>
        <c:grouping val="standard"/>
        <c:varyColors val="0"/>
        <c:ser>
          <c:idx val="1"/>
          <c:order val="1"/>
          <c:tx>
            <c:strRef>
              <c:f>' خلاصه عملکرد ماهانه'!$L$13</c:f>
              <c:strCache>
                <c:ptCount val="1"/>
                <c:pt idx="0">
                  <c:v>تعداد ذوب ریخته گری ناقص (عدد)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ماهانه'!$A$13:$K$13</c:f>
              <c:numCache>
                <c:formatCode>#,##0</c:formatCode>
                <c:ptCount val="11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 formatCode="0">
                  <c:v>9</c:v>
                </c:pt>
                <c:pt idx="7" formatCode="0">
                  <c:v>12</c:v>
                </c:pt>
                <c:pt idx="8" formatCode="0">
                  <c:v>9</c:v>
                </c:pt>
                <c:pt idx="9" formatCode="0">
                  <c:v>7</c:v>
                </c:pt>
                <c:pt idx="10" formatCode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5B-493B-8D94-4CE6BA50A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289263"/>
        <c:axId val="2080285903"/>
      </c:lineChart>
      <c:catAx>
        <c:axId val="208028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285903"/>
        <c:crosses val="autoZero"/>
        <c:auto val="1"/>
        <c:lblAlgn val="ctr"/>
        <c:lblOffset val="100"/>
        <c:noMultiLvlLbl val="0"/>
      </c:catAx>
      <c:valAx>
        <c:axId val="208028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289263"/>
        <c:crosses val="autoZero"/>
        <c:crossBetween val="between"/>
      </c:valAx>
      <c:valAx>
        <c:axId val="53694412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43648"/>
        <c:crosses val="max"/>
        <c:crossBetween val="between"/>
      </c:valAx>
      <c:catAx>
        <c:axId val="536943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694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میزان ذوب برگشتی ماهیانه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 خلاصه عملکرد ماهانه'!$L$60</c:f>
              <c:strCache>
                <c:ptCount val="1"/>
                <c:pt idx="0">
                  <c:v>تعداد کل ذوبها  ( عدد )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ماهانه'!$A$12:$K$12</c:f>
              <c:numCache>
                <c:formatCode>#,##0</c:formatCode>
                <c:ptCount val="11"/>
                <c:pt idx="0">
                  <c:v>109</c:v>
                </c:pt>
                <c:pt idx="1">
                  <c:v>135</c:v>
                </c:pt>
                <c:pt idx="2">
                  <c:v>123</c:v>
                </c:pt>
                <c:pt idx="3">
                  <c:v>80</c:v>
                </c:pt>
                <c:pt idx="4">
                  <c:v>111</c:v>
                </c:pt>
                <c:pt idx="5">
                  <c:v>144</c:v>
                </c:pt>
                <c:pt idx="6" formatCode="0">
                  <c:v>117</c:v>
                </c:pt>
                <c:pt idx="7" formatCode="0">
                  <c:v>98</c:v>
                </c:pt>
                <c:pt idx="8" formatCode="0">
                  <c:v>133</c:v>
                </c:pt>
                <c:pt idx="9" formatCode="0">
                  <c:v>121</c:v>
                </c:pt>
                <c:pt idx="10" formatCode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B-447C-BBA8-ECA2C058F990}"/>
            </c:ext>
          </c:extLst>
        </c:ser>
        <c:ser>
          <c:idx val="1"/>
          <c:order val="1"/>
          <c:tx>
            <c:strRef>
              <c:f>' خلاصه عملکرد ماهانه'!$L$58</c:f>
              <c:strCache>
                <c:ptCount val="1"/>
                <c:pt idx="0">
                  <c:v>تعداد ذوب برگشتی (عدد)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 خلاصه عملکرد ماهانه'!$A$58:$K$58</c:f>
              <c:numCache>
                <c:formatCode>#,##0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2-4932-B874-A2052BB682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43431967"/>
        <c:axId val="1943436287"/>
      </c:barChart>
      <c:catAx>
        <c:axId val="194343196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436287"/>
        <c:crosses val="autoZero"/>
        <c:auto val="1"/>
        <c:lblAlgn val="ctr"/>
        <c:lblOffset val="100"/>
        <c:noMultiLvlLbl val="0"/>
      </c:catAx>
      <c:valAx>
        <c:axId val="1943436287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43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مقایسه کیفیت ریخته گری ذوب ها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2"/>
          <c:order val="2"/>
          <c:tx>
            <c:strRef>
              <c:f>' خلاصه عملکرد ماهانه'!$L$60</c:f>
              <c:strCache>
                <c:ptCount val="1"/>
                <c:pt idx="0">
                  <c:v>تعداد کل ذوبها  ( عدد 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خلاصه عملکرد ماهانه'!$A$60:$K$60</c:f>
              <c:numCache>
                <c:formatCode>#,##0</c:formatCode>
                <c:ptCount val="11"/>
                <c:pt idx="0">
                  <c:v>109</c:v>
                </c:pt>
                <c:pt idx="1">
                  <c:v>135</c:v>
                </c:pt>
                <c:pt idx="2">
                  <c:v>123</c:v>
                </c:pt>
                <c:pt idx="3">
                  <c:v>80</c:v>
                </c:pt>
                <c:pt idx="4">
                  <c:v>111</c:v>
                </c:pt>
                <c:pt idx="5">
                  <c:v>144</c:v>
                </c:pt>
                <c:pt idx="6" formatCode="0">
                  <c:v>117</c:v>
                </c:pt>
                <c:pt idx="7" formatCode="0">
                  <c:v>98</c:v>
                </c:pt>
                <c:pt idx="8" formatCode="0">
                  <c:v>133</c:v>
                </c:pt>
                <c:pt idx="9" formatCode="0">
                  <c:v>121</c:v>
                </c:pt>
                <c:pt idx="10" formatCode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32-4EF7-88F6-CFFAF0E8A11A}"/>
            </c:ext>
          </c:extLst>
        </c:ser>
        <c:ser>
          <c:idx val="4"/>
          <c:order val="4"/>
          <c:tx>
            <c:strRef>
              <c:f>' خلاصه عملکرد ماهانه'!$L$62</c:f>
              <c:strCache>
                <c:ptCount val="1"/>
                <c:pt idx="0">
                  <c:v>تعداد ریخته گری کامل  ( عدد 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ماهانه'!$A$62:$K$62</c:f>
              <c:numCache>
                <c:formatCode>#,##0</c:formatCode>
                <c:ptCount val="11"/>
                <c:pt idx="0">
                  <c:v>107</c:v>
                </c:pt>
                <c:pt idx="1">
                  <c:v>127</c:v>
                </c:pt>
                <c:pt idx="2">
                  <c:v>119</c:v>
                </c:pt>
                <c:pt idx="3">
                  <c:v>75</c:v>
                </c:pt>
                <c:pt idx="4">
                  <c:v>104</c:v>
                </c:pt>
                <c:pt idx="5">
                  <c:v>134</c:v>
                </c:pt>
                <c:pt idx="6" formatCode="0">
                  <c:v>108</c:v>
                </c:pt>
                <c:pt idx="7" formatCode="0">
                  <c:v>86</c:v>
                </c:pt>
                <c:pt idx="8" formatCode="0">
                  <c:v>124</c:v>
                </c:pt>
                <c:pt idx="9" formatCode="0">
                  <c:v>114</c:v>
                </c:pt>
                <c:pt idx="10" formatCode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32-4EF7-88F6-CFFAF0E8A11A}"/>
            </c:ext>
          </c:extLst>
        </c:ser>
        <c:ser>
          <c:idx val="3"/>
          <c:order val="3"/>
          <c:tx>
            <c:strRef>
              <c:f>' خلاصه عملکرد ماهانه'!$L$61</c:f>
              <c:strCache>
                <c:ptCount val="1"/>
                <c:pt idx="0">
                  <c:v>تعداد ذوب ریخته گری ناقص (عدد)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 خلاصه عملکرد ماهانه'!$A$61:$K$61</c:f>
              <c:numCache>
                <c:formatCode>#,##0</c:formatCode>
                <c:ptCount val="11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 formatCode="0">
                  <c:v>9</c:v>
                </c:pt>
                <c:pt idx="7" formatCode="0">
                  <c:v>12</c:v>
                </c:pt>
                <c:pt idx="8" formatCode="0">
                  <c:v>9</c:v>
                </c:pt>
                <c:pt idx="9" formatCode="0">
                  <c:v>7</c:v>
                </c:pt>
                <c:pt idx="10" formatCode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32-4EF7-88F6-CFFAF0E8A11A}"/>
            </c:ext>
          </c:extLst>
        </c:ser>
        <c:ser>
          <c:idx val="0"/>
          <c:order val="0"/>
          <c:tx>
            <c:strRef>
              <c:f>' خلاصه عملکرد ماهانه'!$L$58</c:f>
              <c:strCache>
                <c:ptCount val="1"/>
                <c:pt idx="0">
                  <c:v>تعداد ذوب برگشتی (عدد)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 خلاصه عملکرد ماهانه'!$A$58:$K$58</c:f>
              <c:numCache>
                <c:formatCode>#,##0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2-4EF7-88F6-CFFAF0E8A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77830511"/>
        <c:axId val="37781803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 خلاصه عملکرد ماهانه'!$L$59</c15:sqref>
                        </c15:formulaRef>
                      </c:ext>
                    </c:extLst>
                    <c:strCache>
                      <c:ptCount val="1"/>
                      <c:pt idx="0">
                        <c:v>تعداد ذوب تخلیه اضطراری (عدد)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 خلاصه عملکرد ماهانه'!$A$59:$K$59</c15:sqref>
                        </c15:formulaRef>
                      </c:ext>
                    </c:extLst>
                    <c:numCache>
                      <c:formatCode>#,##0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</c:v>
                      </c:pt>
                      <c:pt idx="5">
                        <c:v>0</c:v>
                      </c:pt>
                      <c:pt idx="6">
                        <c:v>4</c:v>
                      </c:pt>
                      <c:pt idx="7">
                        <c:v>1</c:v>
                      </c:pt>
                      <c:pt idx="8">
                        <c:v>2</c:v>
                      </c:pt>
                      <c:pt idx="9">
                        <c:v>1</c:v>
                      </c:pt>
                      <c:pt idx="10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532-4EF7-88F6-CFFAF0E8A11A}"/>
                  </c:ext>
                </c:extLst>
              </c15:ser>
            </c15:filteredBarSeries>
          </c:ext>
        </c:extLst>
      </c:barChart>
      <c:catAx>
        <c:axId val="3778305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18031"/>
        <c:crosses val="autoZero"/>
        <c:auto val="1"/>
        <c:lblAlgn val="ctr"/>
        <c:lblOffset val="100"/>
        <c:noMultiLvlLbl val="0"/>
      </c:catAx>
      <c:valAx>
        <c:axId val="377818031"/>
        <c:scaling>
          <c:orientation val="maxMin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3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>
                <a:cs typeface="B Titr" panose="00000700000000000000" pitchFamily="2" charset="-78"/>
              </a:rPr>
              <a:t>مقایسه مصرف انرژی الکتریکی ماهیانه 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خلاصه عملکرد ماهانه'!$X$45</c:f>
              <c:strCache>
                <c:ptCount val="1"/>
                <c:pt idx="0">
                  <c:v>برق مصرفی (KW/H)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BAC-4550-9EB1-FDFF2DB140B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18E-48BB-BE32-E4A202F8648C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BAC-4550-9EB1-FDFF2DB140BE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AC-4550-9EB1-FDFF2DB140BE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AC-4550-9EB1-FDFF2DB140BE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BAC-4550-9EB1-FDFF2DB140BE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18E-48BB-BE32-E4A202F8648C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67B-40CF-8F05-2DA9B855105B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67B-40CF-8F05-2DA9B855105B}"/>
              </c:ext>
            </c:extLst>
          </c:dPt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ماهانه'!$O$44:$W$44</c:f>
              <c:strCache>
                <c:ptCount val="9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</c:strCache>
            </c:strRef>
          </c:cat>
          <c:val>
            <c:numRef>
              <c:f>' خلاصه عملکرد ماهانه'!$O$45:$W$45</c:f>
              <c:numCache>
                <c:formatCode>#,##0</c:formatCode>
                <c:ptCount val="9"/>
                <c:pt idx="0">
                  <c:v>2426000</c:v>
                </c:pt>
                <c:pt idx="1">
                  <c:v>2780610</c:v>
                </c:pt>
                <c:pt idx="2">
                  <c:v>2676965</c:v>
                </c:pt>
                <c:pt idx="3">
                  <c:v>1902500</c:v>
                </c:pt>
                <c:pt idx="4">
                  <c:v>2528000</c:v>
                </c:pt>
                <c:pt idx="5">
                  <c:v>3293000</c:v>
                </c:pt>
                <c:pt idx="6">
                  <c:v>2466000</c:v>
                </c:pt>
                <c:pt idx="7">
                  <c:v>1973000</c:v>
                </c:pt>
                <c:pt idx="8">
                  <c:v>2707000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C-4550-9EB1-FDFF2DB14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22764303"/>
        <c:axId val="42273646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 خلاصه عملکرد ماهانه'!$O$44:$W$44</c15:sqref>
                        </c15:formulaRef>
                      </c:ext>
                    </c:extLst>
                    <c:strCache>
                      <c:ptCount val="9"/>
                      <c:pt idx="0">
                        <c:v>اسفند</c:v>
                      </c:pt>
                      <c:pt idx="1">
                        <c:v>بهمن</c:v>
                      </c:pt>
                      <c:pt idx="2">
                        <c:v>دی</c:v>
                      </c:pt>
                      <c:pt idx="3">
                        <c:v>آذر</c:v>
                      </c:pt>
                      <c:pt idx="4">
                        <c:v>آبان</c:v>
                      </c:pt>
                      <c:pt idx="5">
                        <c:v>مهر</c:v>
                      </c:pt>
                      <c:pt idx="6">
                        <c:v>شهریور</c:v>
                      </c:pt>
                      <c:pt idx="7">
                        <c:v>مرداد</c:v>
                      </c:pt>
                      <c:pt idx="8">
                        <c:v>خرداد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 خلاصه عملکرد ماهانه'!$Q$46:$W$46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2768250</c:v>
                      </c:pt>
                      <c:pt idx="1">
                        <c:v>1861325</c:v>
                      </c:pt>
                      <c:pt idx="2">
                        <c:v>2466850</c:v>
                      </c:pt>
                      <c:pt idx="3">
                        <c:v>3409600</c:v>
                      </c:pt>
                      <c:pt idx="4">
                        <c:v>2593775</c:v>
                      </c:pt>
                      <c:pt idx="5">
                        <c:v>2009225</c:v>
                      </c:pt>
                      <c:pt idx="6">
                        <c:v>2772275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BAC-4550-9EB1-FDFF2DB140BE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2"/>
          <c:order val="2"/>
          <c:tx>
            <c:strRef>
              <c:f>' خلاصه عملکرد ماهانه'!$X$47</c:f>
              <c:strCache>
                <c:ptCount val="1"/>
                <c:pt idx="0">
                  <c:v>مصرف به ازای هر تن تولید(KWH/T)</c:v>
                </c:pt>
              </c:strCache>
            </c:strRef>
          </c:tx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65000"/>
                </a:schemeClr>
              </a:solidFill>
              <a:ln w="9525">
                <a:solidFill>
                  <a:schemeClr val="accent2">
                    <a:tint val="65000"/>
                  </a:schemeClr>
                </a:solidFill>
              </a:ln>
              <a:effectLst/>
            </c:spPr>
          </c:marker>
          <c:dLbls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ماهانه'!$Q$44:$W$44</c:f>
              <c:strCache>
                <c:ptCount val="7"/>
                <c:pt idx="0">
                  <c:v>دی</c:v>
                </c:pt>
                <c:pt idx="1">
                  <c:v>آذر</c:v>
                </c:pt>
                <c:pt idx="2">
                  <c:v>آبان</c:v>
                </c:pt>
                <c:pt idx="3">
                  <c:v>مهر</c:v>
                </c:pt>
                <c:pt idx="4">
                  <c:v>شهریور</c:v>
                </c:pt>
                <c:pt idx="5">
                  <c:v>مرداد</c:v>
                </c:pt>
                <c:pt idx="6">
                  <c:v>خرداد</c:v>
                </c:pt>
              </c:strCache>
            </c:strRef>
          </c:cat>
          <c:val>
            <c:numRef>
              <c:f>' خلاصه عملکرد ماهانه'!$O$47:$W$47</c:f>
              <c:numCache>
                <c:formatCode>General</c:formatCode>
                <c:ptCount val="9"/>
                <c:pt idx="0" formatCode="#,##0">
                  <c:v>989</c:v>
                </c:pt>
                <c:pt idx="1">
                  <c:v>957</c:v>
                </c:pt>
                <c:pt idx="2" formatCode="#,##0">
                  <c:v>966</c:v>
                </c:pt>
                <c:pt idx="3" formatCode="#,##0">
                  <c:v>1022</c:v>
                </c:pt>
                <c:pt idx="4" formatCode="#,##0">
                  <c:v>1025</c:v>
                </c:pt>
                <c:pt idx="5" formatCode="#,##0">
                  <c:v>965</c:v>
                </c:pt>
                <c:pt idx="6" formatCode="#,##0">
                  <c:v>951</c:v>
                </c:pt>
                <c:pt idx="7" formatCode="#,##0">
                  <c:v>980</c:v>
                </c:pt>
                <c:pt idx="8" formatCode="#,##0">
                  <c:v>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AC-4550-9EB1-FDFF2DB14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902912"/>
        <c:axId val="685902320"/>
      </c:lineChart>
      <c:catAx>
        <c:axId val="42276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36463"/>
        <c:crosses val="autoZero"/>
        <c:auto val="1"/>
        <c:lblAlgn val="ctr"/>
        <c:lblOffset val="100"/>
        <c:noMultiLvlLbl val="0"/>
      </c:catAx>
      <c:valAx>
        <c:axId val="42273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64303"/>
        <c:crosses val="autoZero"/>
        <c:crossBetween val="between"/>
      </c:valAx>
      <c:valAx>
        <c:axId val="68590232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02912"/>
        <c:crosses val="max"/>
        <c:crossBetween val="between"/>
        <c:majorUnit val="10"/>
        <c:minorUnit val="1"/>
      </c:valAx>
      <c:catAx>
        <c:axId val="4759029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85902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b="0">
                <a:cs typeface="B Titr" panose="00000700000000000000" pitchFamily="2" charset="-78"/>
              </a:rPr>
              <a:t>میانگین عمر نهایی بوته ها</a:t>
            </a:r>
            <a:endParaRPr lang="en-US" b="0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 خلاصه عملکرد ماهانه'!$L$3</c:f>
              <c:strCache>
                <c:ptCount val="1"/>
                <c:pt idx="0">
                  <c:v>میزان کل ذوب ساخته شده  (Kg)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ماهانه'!$AA$58:$AK$58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ماهانه'!$A$3:$K$3</c:f>
              <c:numCache>
                <c:formatCode>#,##0</c:formatCode>
                <c:ptCount val="11"/>
                <c:pt idx="0">
                  <c:v>2453975</c:v>
                </c:pt>
                <c:pt idx="1">
                  <c:v>2904775</c:v>
                </c:pt>
                <c:pt idx="2">
                  <c:v>2768250</c:v>
                </c:pt>
                <c:pt idx="3">
                  <c:v>1861325</c:v>
                </c:pt>
                <c:pt idx="4">
                  <c:v>2466850</c:v>
                </c:pt>
                <c:pt idx="5">
                  <c:v>3409600</c:v>
                </c:pt>
                <c:pt idx="6">
                  <c:v>2593775</c:v>
                </c:pt>
                <c:pt idx="7">
                  <c:v>2009225</c:v>
                </c:pt>
                <c:pt idx="8">
                  <c:v>2772275</c:v>
                </c:pt>
                <c:pt idx="9">
                  <c:v>2645405</c:v>
                </c:pt>
                <c:pt idx="10">
                  <c:v>1234585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D-453F-BE20-92328FE1EABD}"/>
            </c:ext>
          </c:extLst>
        </c:ser>
        <c:ser>
          <c:idx val="1"/>
          <c:order val="2"/>
          <c:tx>
            <c:strRef>
              <c:f>' خلاصه عملکرد ماهانه'!$AL$60:$AM$60</c:f>
              <c:strCache>
                <c:ptCount val="2"/>
                <c:pt idx="0">
                  <c:v>میانگین تناژ تخلیه   (Kg 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ماهانه'!$AA$58:$AK$58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ماهانه'!$AA$60:$AK$60</c:f>
              <c:numCache>
                <c:formatCode>#,##0</c:formatCode>
                <c:ptCount val="11"/>
                <c:pt idx="0">
                  <c:v>19500</c:v>
                </c:pt>
                <c:pt idx="1">
                  <c:v>21000</c:v>
                </c:pt>
                <c:pt idx="2" formatCode="General">
                  <c:v>21500</c:v>
                </c:pt>
                <c:pt idx="3">
                  <c:v>17500</c:v>
                </c:pt>
                <c:pt idx="4">
                  <c:v>19200</c:v>
                </c:pt>
                <c:pt idx="5">
                  <c:v>22300</c:v>
                </c:pt>
                <c:pt idx="6">
                  <c:v>20300</c:v>
                </c:pt>
                <c:pt idx="7">
                  <c:v>19500</c:v>
                </c:pt>
                <c:pt idx="8">
                  <c:v>22000</c:v>
                </c:pt>
                <c:pt idx="9">
                  <c:v>20550</c:v>
                </c:pt>
                <c:pt idx="10">
                  <c:v>17800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D-453F-BE20-92328FE1E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52786991"/>
        <c:axId val="1552788911"/>
      </c:barChart>
      <c:lineChart>
        <c:grouping val="standard"/>
        <c:varyColors val="0"/>
        <c:ser>
          <c:idx val="2"/>
          <c:order val="1"/>
          <c:tx>
            <c:strRef>
              <c:f>' خلاصه عملکرد ماهانه'!$AL$61:$AM$61</c:f>
              <c:strCache>
                <c:ptCount val="2"/>
                <c:pt idx="0">
                  <c:v>میانگین عمر نهایی بوته ها  ( عدد 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ماهانه'!$AA$58:$AK$58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ماهانه'!$AA$61:$AK$61</c:f>
              <c:numCache>
                <c:formatCode>#,##0.00</c:formatCode>
                <c:ptCount val="11"/>
                <c:pt idx="0">
                  <c:v>10.119999999999999</c:v>
                </c:pt>
                <c:pt idx="1">
                  <c:v>9.25</c:v>
                </c:pt>
                <c:pt idx="2">
                  <c:v>7.69</c:v>
                </c:pt>
                <c:pt idx="3">
                  <c:v>8</c:v>
                </c:pt>
                <c:pt idx="4">
                  <c:v>7.4</c:v>
                </c:pt>
                <c:pt idx="5">
                  <c:v>9.6</c:v>
                </c:pt>
                <c:pt idx="6">
                  <c:v>9</c:v>
                </c:pt>
                <c:pt idx="7">
                  <c:v>9.8000000000000007</c:v>
                </c:pt>
                <c:pt idx="8">
                  <c:v>10.23</c:v>
                </c:pt>
                <c:pt idx="9">
                  <c:v>10.25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B5-48ED-8857-06F32F97B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647439"/>
        <c:axId val="1198647919"/>
      </c:lineChart>
      <c:catAx>
        <c:axId val="119864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47919"/>
        <c:crosses val="autoZero"/>
        <c:auto val="1"/>
        <c:lblAlgn val="ctr"/>
        <c:lblOffset val="100"/>
        <c:noMultiLvlLbl val="0"/>
      </c:catAx>
      <c:valAx>
        <c:axId val="119864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47439"/>
        <c:crosses val="autoZero"/>
        <c:crossBetween val="between"/>
      </c:valAx>
      <c:valAx>
        <c:axId val="155278891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786991"/>
        <c:crosses val="max"/>
        <c:crossBetween val="between"/>
      </c:valAx>
      <c:catAx>
        <c:axId val="1552786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2788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درصد تولید شمش استاندارد نسبت به کل تولید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خلاصه عملکرد ماهانه'!$L$3</c:f>
              <c:strCache>
                <c:ptCount val="1"/>
                <c:pt idx="0">
                  <c:v>میزان کل ذوب ساخته شده  (Kg)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 خلاصه عملکرد ماهانه'!$A$2:$K$2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ماهانه'!$A$3:$K$3</c:f>
              <c:numCache>
                <c:formatCode>#,##0</c:formatCode>
                <c:ptCount val="11"/>
                <c:pt idx="0">
                  <c:v>2453975</c:v>
                </c:pt>
                <c:pt idx="1">
                  <c:v>2904775</c:v>
                </c:pt>
                <c:pt idx="2">
                  <c:v>2768250</c:v>
                </c:pt>
                <c:pt idx="3">
                  <c:v>1861325</c:v>
                </c:pt>
                <c:pt idx="4">
                  <c:v>2466850</c:v>
                </c:pt>
                <c:pt idx="5">
                  <c:v>3409600</c:v>
                </c:pt>
                <c:pt idx="6">
                  <c:v>2593775</c:v>
                </c:pt>
                <c:pt idx="7">
                  <c:v>2009225</c:v>
                </c:pt>
                <c:pt idx="8">
                  <c:v>2772275</c:v>
                </c:pt>
                <c:pt idx="9">
                  <c:v>2645405</c:v>
                </c:pt>
                <c:pt idx="10">
                  <c:v>1234585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F-417B-88BB-CAA24F7F7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75801984"/>
        <c:axId val="775812064"/>
      </c:barChart>
      <c:lineChart>
        <c:grouping val="standard"/>
        <c:varyColors val="0"/>
        <c:ser>
          <c:idx val="1"/>
          <c:order val="1"/>
          <c:tx>
            <c:strRef>
              <c:f>' خلاصه عملکرد ماهانه'!$L$35</c:f>
              <c:strCache>
                <c:ptCount val="1"/>
                <c:pt idx="0">
                  <c:v>درصد تولید شمش استاندارد 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ماهانه'!$A$57:$K$57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ماهانه'!$A$35:$K$35</c:f>
              <c:numCache>
                <c:formatCode>0.00%</c:formatCode>
                <c:ptCount val="11"/>
                <c:pt idx="0">
                  <c:v>0.9113</c:v>
                </c:pt>
                <c:pt idx="1">
                  <c:v>0.88959999999999995</c:v>
                </c:pt>
                <c:pt idx="2">
                  <c:v>0.90210000000000001</c:v>
                </c:pt>
                <c:pt idx="3">
                  <c:v>0.90710000000000002</c:v>
                </c:pt>
                <c:pt idx="4">
                  <c:v>0.93340000000000001</c:v>
                </c:pt>
                <c:pt idx="5">
                  <c:v>0.92869999999999997</c:v>
                </c:pt>
                <c:pt idx="6">
                  <c:v>0.92869999999999997</c:v>
                </c:pt>
                <c:pt idx="7">
                  <c:v>0.89439999999999997</c:v>
                </c:pt>
                <c:pt idx="8">
                  <c:v>0.88029999999999997</c:v>
                </c:pt>
                <c:pt idx="9">
                  <c:v>0.89680000000000004</c:v>
                </c:pt>
                <c:pt idx="10">
                  <c:v>0.88180000000000003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F-417B-88BB-CAA24F7F7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577647"/>
        <c:axId val="1158584847"/>
      </c:lineChart>
      <c:catAx>
        <c:axId val="115857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584847"/>
        <c:crosses val="autoZero"/>
        <c:auto val="1"/>
        <c:lblAlgn val="ctr"/>
        <c:lblOffset val="100"/>
        <c:noMultiLvlLbl val="0"/>
      </c:catAx>
      <c:valAx>
        <c:axId val="11585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577647"/>
        <c:crosses val="autoZero"/>
        <c:crossBetween val="between"/>
      </c:valAx>
      <c:valAx>
        <c:axId val="77581206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801984"/>
        <c:crosses val="max"/>
        <c:crossBetween val="between"/>
      </c:valAx>
      <c:catAx>
        <c:axId val="775801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5812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مقایسه ساعات توقفات تولید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017496859758955E-2"/>
          <c:y val="0.15053121978172063"/>
          <c:w val="0.90356831968203211"/>
          <c:h val="0.715656175282252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 خلاصه عملکرد ماهانه'!$L$94</c:f>
              <c:strCache>
                <c:ptCount val="1"/>
                <c:pt idx="0">
                  <c:v>توقفات فنی (ساعت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ماهانه'!$A$92:$K$93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ماهانه'!$A$94:$K$94</c:f>
              <c:numCache>
                <c:formatCode>[h]:mm</c:formatCode>
                <c:ptCount val="11"/>
                <c:pt idx="0">
                  <c:v>0.57638888888888895</c:v>
                </c:pt>
                <c:pt idx="1">
                  <c:v>0.71666666666666667</c:v>
                </c:pt>
                <c:pt idx="2">
                  <c:v>1.0333333333333334</c:v>
                </c:pt>
                <c:pt idx="3">
                  <c:v>0.41388888888888892</c:v>
                </c:pt>
                <c:pt idx="4">
                  <c:v>0.19097222222222221</c:v>
                </c:pt>
                <c:pt idx="5">
                  <c:v>0.54722222222222217</c:v>
                </c:pt>
                <c:pt idx="6" formatCode="h:mm">
                  <c:v>0.72569444444444453</c:v>
                </c:pt>
                <c:pt idx="7" formatCode="h:mm">
                  <c:v>0.92222222222222217</c:v>
                </c:pt>
                <c:pt idx="8">
                  <c:v>1.5090277777777779</c:v>
                </c:pt>
                <c:pt idx="9" formatCode="h:mm">
                  <c:v>0.2986111111111111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0-45AC-89C4-D4789B04E69D}"/>
            </c:ext>
          </c:extLst>
        </c:ser>
        <c:ser>
          <c:idx val="2"/>
          <c:order val="2"/>
          <c:tx>
            <c:strRef>
              <c:f>' خلاصه عملکرد ماهانه'!$L$96</c:f>
              <c:strCache>
                <c:ptCount val="1"/>
                <c:pt idx="0">
                  <c:v>مجموع کل توقفات (ساعت 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ماهانه'!$A$92:$K$93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ماهانه'!$A$96:$K$96</c:f>
              <c:numCache>
                <c:formatCode>[h]:mm</c:formatCode>
                <c:ptCount val="11"/>
                <c:pt idx="0">
                  <c:v>0.8041666666666667</c:v>
                </c:pt>
                <c:pt idx="1">
                  <c:v>1.0999999999999999</c:v>
                </c:pt>
                <c:pt idx="2">
                  <c:v>1.8527777777777779</c:v>
                </c:pt>
                <c:pt idx="3">
                  <c:v>1.0784722222222223</c:v>
                </c:pt>
                <c:pt idx="4">
                  <c:v>0.71736111111111101</c:v>
                </c:pt>
                <c:pt idx="5">
                  <c:v>1.8451388888888887</c:v>
                </c:pt>
                <c:pt idx="6">
                  <c:v>1.0666666666666667</c:v>
                </c:pt>
                <c:pt idx="7">
                  <c:v>1.6312499999999999</c:v>
                </c:pt>
                <c:pt idx="8">
                  <c:v>2.3333333333333335</c:v>
                </c:pt>
                <c:pt idx="9" formatCode="h:mm">
                  <c:v>0.26041666666666669</c:v>
                </c:pt>
                <c:pt idx="10" formatCode="h:mm">
                  <c:v>0.15972222222222224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70-45AC-89C4-D4789B04E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6873487"/>
        <c:axId val="1966871567"/>
      </c:barChart>
      <c:lineChart>
        <c:grouping val="stacked"/>
        <c:varyColors val="0"/>
        <c:ser>
          <c:idx val="1"/>
          <c:order val="1"/>
          <c:tx>
            <c:strRef>
              <c:f>' خلاصه عملکرد ماهانه'!$L$95</c:f>
              <c:strCache>
                <c:ptCount val="1"/>
                <c:pt idx="0">
                  <c:v>توقفات تولیدی (ساعت 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FF00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427-47CE-9AFA-AD0990770578}"/>
              </c:ext>
            </c:extLst>
          </c:dPt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ماهانه'!$A$57:$K$57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ماهانه'!$A$95:$K$95</c:f>
              <c:numCache>
                <c:formatCode>[h]:mm</c:formatCode>
                <c:ptCount val="11"/>
                <c:pt idx="0">
                  <c:v>0.22777777777777777</c:v>
                </c:pt>
                <c:pt idx="1">
                  <c:v>0.3833333333333333</c:v>
                </c:pt>
                <c:pt idx="2">
                  <c:v>0.81944444444444453</c:v>
                </c:pt>
                <c:pt idx="3">
                  <c:v>0.6645833333333333</c:v>
                </c:pt>
                <c:pt idx="4">
                  <c:v>0.52638888888888891</c:v>
                </c:pt>
                <c:pt idx="5">
                  <c:v>1.2979166666666666</c:v>
                </c:pt>
                <c:pt idx="6" formatCode="h:mm">
                  <c:v>0.34097222222222223</c:v>
                </c:pt>
                <c:pt idx="7" formatCode="h:mm">
                  <c:v>0.35486111111111113</c:v>
                </c:pt>
                <c:pt idx="8" formatCode="h:mm">
                  <c:v>0.82152777777777775</c:v>
                </c:pt>
                <c:pt idx="9" formatCode="h:mm">
                  <c:v>0.12152777777777778</c:v>
                </c:pt>
                <c:pt idx="10" formatCode="h:mm">
                  <c:v>0.10416666666666667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0-45AC-89C4-D4789B04E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772735"/>
        <c:axId val="1236368463"/>
      </c:lineChart>
      <c:catAx>
        <c:axId val="110977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368463"/>
        <c:crosses val="autoZero"/>
        <c:auto val="1"/>
        <c:lblAlgn val="ctr"/>
        <c:lblOffset val="100"/>
        <c:noMultiLvlLbl val="0"/>
      </c:catAx>
      <c:valAx>
        <c:axId val="123636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72735"/>
        <c:crosses val="autoZero"/>
        <c:crossBetween val="between"/>
      </c:valAx>
      <c:valAx>
        <c:axId val="1966871567"/>
        <c:scaling>
          <c:orientation val="minMax"/>
        </c:scaling>
        <c:delete val="0"/>
        <c:axPos val="r"/>
        <c:numFmt formatCode="[h]:mm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873487"/>
        <c:crosses val="max"/>
        <c:crossBetween val="between"/>
      </c:valAx>
      <c:catAx>
        <c:axId val="19668734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68715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نرخ تبدیل ریخته</a:t>
            </a:r>
            <a:r>
              <a:rPr lang="fa-IR" baseline="0">
                <a:cs typeface="B Titr" panose="00000700000000000000" pitchFamily="2" charset="-78"/>
              </a:rPr>
              <a:t> گری </a:t>
            </a:r>
            <a:r>
              <a:rPr lang="fa-IR">
                <a:cs typeface="B Titr" panose="00000700000000000000" pitchFamily="2" charset="-78"/>
              </a:rPr>
              <a:t>و نرخ موفقیت ذوب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خلاصه عملکرد ماهانه'!$L$117</c:f>
              <c:strCache>
                <c:ptCount val="1"/>
                <c:pt idx="0">
                  <c:v>تعداد کل ذوبها  ( عدد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ماهانه'!$A$115:$K$116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ماهانه'!$A$117:$K$117</c:f>
              <c:numCache>
                <c:formatCode>#,##0</c:formatCode>
                <c:ptCount val="11"/>
                <c:pt idx="0">
                  <c:v>109</c:v>
                </c:pt>
                <c:pt idx="1">
                  <c:v>135</c:v>
                </c:pt>
                <c:pt idx="2">
                  <c:v>123</c:v>
                </c:pt>
                <c:pt idx="3">
                  <c:v>80</c:v>
                </c:pt>
                <c:pt idx="4">
                  <c:v>111</c:v>
                </c:pt>
                <c:pt idx="5">
                  <c:v>144</c:v>
                </c:pt>
                <c:pt idx="6" formatCode="0">
                  <c:v>117</c:v>
                </c:pt>
                <c:pt idx="7" formatCode="0">
                  <c:v>98</c:v>
                </c:pt>
                <c:pt idx="8" formatCode="0">
                  <c:v>133</c:v>
                </c:pt>
                <c:pt idx="9" formatCode="0">
                  <c:v>121</c:v>
                </c:pt>
                <c:pt idx="10" formatCode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8-4C6C-B5DC-02F87D7E0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3305952"/>
        <c:axId val="73306912"/>
      </c:barChart>
      <c:lineChart>
        <c:grouping val="standard"/>
        <c:varyColors val="0"/>
        <c:ser>
          <c:idx val="1"/>
          <c:order val="1"/>
          <c:tx>
            <c:strRef>
              <c:f>' خلاصه عملکرد ماهانه'!$L$147</c:f>
              <c:strCache>
                <c:ptCount val="1"/>
                <c:pt idx="0">
                  <c:v>نرخ تبدیل ریخته گری (درصد)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ماهانه'!$A$115:$K$116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ماهانه'!$A$147:$K$147</c:f>
              <c:numCache>
                <c:formatCode>0.00%</c:formatCode>
                <c:ptCount val="11"/>
                <c:pt idx="0">
                  <c:v>0.9819</c:v>
                </c:pt>
                <c:pt idx="1">
                  <c:v>0.97589999999999999</c:v>
                </c:pt>
                <c:pt idx="2">
                  <c:v>0.98629999999999995</c:v>
                </c:pt>
                <c:pt idx="3">
                  <c:v>0.97450000000000003</c:v>
                </c:pt>
                <c:pt idx="4">
                  <c:v>0.98229999999999995</c:v>
                </c:pt>
                <c:pt idx="5">
                  <c:v>0.95750000000000002</c:v>
                </c:pt>
                <c:pt idx="6">
                  <c:v>0.91149999999999998</c:v>
                </c:pt>
                <c:pt idx="7">
                  <c:v>0.94199999999999995</c:v>
                </c:pt>
                <c:pt idx="8">
                  <c:v>0.92359999999999998</c:v>
                </c:pt>
                <c:pt idx="9">
                  <c:v>0.96899999999999997</c:v>
                </c:pt>
                <c:pt idx="10">
                  <c:v>0.96699999999999997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8-4C6C-B5DC-02F87D7E0AE4}"/>
            </c:ext>
          </c:extLst>
        </c:ser>
        <c:ser>
          <c:idx val="2"/>
          <c:order val="2"/>
          <c:tx>
            <c:strRef>
              <c:f>' خلاصه عملکرد ماهانه'!$L$119</c:f>
              <c:strCache>
                <c:ptCount val="1"/>
                <c:pt idx="0">
                  <c:v>نرخ موفقیت ذوب (درصد)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ماهانه'!$A$115:$K$116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ماهانه'!$A$119:$K$119</c:f>
              <c:numCache>
                <c:formatCode>0.00%</c:formatCode>
                <c:ptCount val="11"/>
                <c:pt idx="0">
                  <c:v>0.99050000000000005</c:v>
                </c:pt>
                <c:pt idx="1">
                  <c:v>0.97170000000000001</c:v>
                </c:pt>
                <c:pt idx="2">
                  <c:v>0.96750000000000003</c:v>
                </c:pt>
                <c:pt idx="3">
                  <c:v>0.9375</c:v>
                </c:pt>
                <c:pt idx="4">
                  <c:v>0.93689999999999996</c:v>
                </c:pt>
                <c:pt idx="5">
                  <c:v>0.93059999999999998</c:v>
                </c:pt>
                <c:pt idx="6">
                  <c:v>0.92310000000000003</c:v>
                </c:pt>
                <c:pt idx="7">
                  <c:v>0.9163</c:v>
                </c:pt>
                <c:pt idx="8">
                  <c:v>0.93230000000000002</c:v>
                </c:pt>
                <c:pt idx="9">
                  <c:v>0.94210000000000005</c:v>
                </c:pt>
                <c:pt idx="10">
                  <c:v>0.92589999999999995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D8-4C6C-B5DC-02F87D7E0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23232"/>
        <c:axId val="73303552"/>
      </c:lineChart>
      <c:catAx>
        <c:axId val="7330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06912"/>
        <c:crosses val="autoZero"/>
        <c:auto val="1"/>
        <c:lblAlgn val="ctr"/>
        <c:lblOffset val="100"/>
        <c:noMultiLvlLbl val="0"/>
      </c:catAx>
      <c:valAx>
        <c:axId val="7330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05952"/>
        <c:crosses val="autoZero"/>
        <c:crossBetween val="between"/>
      </c:valAx>
      <c:valAx>
        <c:axId val="733035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3232"/>
        <c:crosses val="max"/>
        <c:crossBetween val="between"/>
      </c:valAx>
      <c:catAx>
        <c:axId val="7332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303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Titr" panose="00000700000000000000" pitchFamily="2" charset="-78"/>
              </a:rPr>
              <a:t>درصد تحقق ظرفیت تولید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 خلاصه عملکرد ماهانه'!$X$119</c:f>
              <c:strCache>
                <c:ptCount val="1"/>
                <c:pt idx="0">
                  <c:v>ظرفیت تولید واقعی (تن)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ماهانه'!$AO$97:$AY$98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ماهانه'!$AO$101:$AY$101</c:f>
              <c:numCache>
                <c:formatCode>General</c:formatCode>
                <c:ptCount val="11"/>
                <c:pt idx="0">
                  <c:v>2453</c:v>
                </c:pt>
                <c:pt idx="1">
                  <c:v>2904</c:v>
                </c:pt>
                <c:pt idx="2">
                  <c:v>2768</c:v>
                </c:pt>
                <c:pt idx="3">
                  <c:v>1861</c:v>
                </c:pt>
                <c:pt idx="4">
                  <c:v>2466</c:v>
                </c:pt>
                <c:pt idx="5">
                  <c:v>3409</c:v>
                </c:pt>
                <c:pt idx="6">
                  <c:v>2593</c:v>
                </c:pt>
                <c:pt idx="7">
                  <c:v>2009</c:v>
                </c:pt>
                <c:pt idx="8">
                  <c:v>2772</c:v>
                </c:pt>
                <c:pt idx="9">
                  <c:v>2645</c:v>
                </c:pt>
                <c:pt idx="10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75-43C9-B0B3-989B34FF86DC}"/>
            </c:ext>
          </c:extLst>
        </c:ser>
        <c:ser>
          <c:idx val="1"/>
          <c:order val="2"/>
          <c:tx>
            <c:strRef>
              <c:f>' خلاصه عملکرد ماهانه'!$X$117</c:f>
              <c:strCache>
                <c:ptCount val="1"/>
                <c:pt idx="0">
                  <c:v>ظرفیت اسمی تولید ماه (تن)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 خلاصه عملکرد ماهانه'!$AO$97:$AY$98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ماهانه'!$AO$99:$AY$99</c:f>
              <c:numCache>
                <c:formatCode>General</c:formatCode>
                <c:ptCount val="11"/>
                <c:pt idx="0">
                  <c:v>3125</c:v>
                </c:pt>
                <c:pt idx="1">
                  <c:v>3250</c:v>
                </c:pt>
                <c:pt idx="2">
                  <c:v>3250</c:v>
                </c:pt>
                <c:pt idx="3">
                  <c:v>3250</c:v>
                </c:pt>
                <c:pt idx="4">
                  <c:v>3250</c:v>
                </c:pt>
                <c:pt idx="5">
                  <c:v>3750</c:v>
                </c:pt>
                <c:pt idx="6">
                  <c:v>2750</c:v>
                </c:pt>
                <c:pt idx="7">
                  <c:v>3250</c:v>
                </c:pt>
                <c:pt idx="8">
                  <c:v>3250</c:v>
                </c:pt>
                <c:pt idx="9">
                  <c:v>3125</c:v>
                </c:pt>
                <c:pt idx="1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5-43C9-B0B3-989B34FF8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7157727"/>
        <c:axId val="347179327"/>
      </c:barChart>
      <c:lineChart>
        <c:grouping val="standard"/>
        <c:varyColors val="0"/>
        <c:ser>
          <c:idx val="0"/>
          <c:order val="1"/>
          <c:tx>
            <c:strRef>
              <c:f>' خلاصه عملکرد ماهانه'!$X$120</c:f>
              <c:strCache>
                <c:ptCount val="1"/>
                <c:pt idx="0">
                  <c:v>تحقق ظرفیت (درصد)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ماهانه'!$AO$97:$AY$98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ماهانه'!$AO$102:$AY$102</c:f>
              <c:numCache>
                <c:formatCode>0.00%</c:formatCode>
                <c:ptCount val="11"/>
                <c:pt idx="0">
                  <c:v>0.78500000000000003</c:v>
                </c:pt>
                <c:pt idx="1">
                  <c:v>0.89349999999999996</c:v>
                </c:pt>
                <c:pt idx="2">
                  <c:v>0.85170000000000001</c:v>
                </c:pt>
                <c:pt idx="3">
                  <c:v>0.57289999999999996</c:v>
                </c:pt>
                <c:pt idx="4">
                  <c:v>0.75880000000000003</c:v>
                </c:pt>
                <c:pt idx="5">
                  <c:v>0.90910000000000002</c:v>
                </c:pt>
                <c:pt idx="6">
                  <c:v>0.94289999999999996</c:v>
                </c:pt>
                <c:pt idx="7">
                  <c:v>0.61819999999999997</c:v>
                </c:pt>
                <c:pt idx="8">
                  <c:v>0.85289999999999999</c:v>
                </c:pt>
                <c:pt idx="9">
                  <c:v>0.84640000000000004</c:v>
                </c:pt>
                <c:pt idx="10">
                  <c:v>0.82330000000000003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5-43C9-B0B3-989B34FF8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655295"/>
        <c:axId val="1799654335"/>
      </c:lineChart>
      <c:catAx>
        <c:axId val="34715772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179327"/>
        <c:crosses val="autoZero"/>
        <c:auto val="1"/>
        <c:lblAlgn val="ctr"/>
        <c:lblOffset val="100"/>
        <c:noMultiLvlLbl val="0"/>
      </c:catAx>
      <c:valAx>
        <c:axId val="34717932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157727"/>
        <c:crosses val="autoZero"/>
        <c:crossBetween val="between"/>
      </c:valAx>
      <c:valAx>
        <c:axId val="1799654335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655295"/>
        <c:crosses val="autoZero"/>
        <c:crossBetween val="between"/>
      </c:valAx>
      <c:catAx>
        <c:axId val="1799655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96543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400" b="0" i="0" u="none" strike="noStrike" baseline="0">
                <a:cs typeface="B Titr" panose="00000700000000000000" pitchFamily="2" charset="-78"/>
              </a:rPr>
              <a:t>عملکرد فرآیند تولید و کنترل کیفیت</a:t>
            </a:r>
            <a:r>
              <a:rPr lang="fa-IR" sz="1400" b="0" i="0" u="none" strike="noStrike" baseline="0">
                <a:cs typeface="B Titr" panose="00000700000000000000" pitchFamily="2" charset="-78"/>
              </a:rPr>
              <a:t> شمش ها</a:t>
            </a:r>
            <a:endParaRPr lang="en-US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 خلاصه عملکرد ماهانه'!$AK$68:$AL$68</c:f>
              <c:strCache>
                <c:ptCount val="2"/>
                <c:pt idx="0">
                  <c:v>درصد تولید شمش استاندارد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ماهانه'!$Z$66:$AJ$66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ماهانه'!$Z$68:$AJ$68</c:f>
              <c:numCache>
                <c:formatCode>0.00%</c:formatCode>
                <c:ptCount val="11"/>
                <c:pt idx="0">
                  <c:v>0.91290000000000004</c:v>
                </c:pt>
                <c:pt idx="1">
                  <c:v>0.88959999999999995</c:v>
                </c:pt>
                <c:pt idx="2">
                  <c:v>0.90210000000000001</c:v>
                </c:pt>
                <c:pt idx="3">
                  <c:v>0.90710000000000002</c:v>
                </c:pt>
                <c:pt idx="4">
                  <c:v>0.93340000000000001</c:v>
                </c:pt>
                <c:pt idx="5">
                  <c:v>0.92869999999999997</c:v>
                </c:pt>
                <c:pt idx="6">
                  <c:v>0.92869999999999997</c:v>
                </c:pt>
                <c:pt idx="7">
                  <c:v>0.89439999999999997</c:v>
                </c:pt>
                <c:pt idx="8" formatCode="0.0%">
                  <c:v>0.88029999999999997</c:v>
                </c:pt>
                <c:pt idx="9">
                  <c:v>0.89680000000000004</c:v>
                </c:pt>
                <c:pt idx="10">
                  <c:v>0.88180000000000003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9-413E-B6DE-3797F393B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4147984"/>
        <c:axId val="1884152784"/>
      </c:barChart>
      <c:barChart>
        <c:barDir val="col"/>
        <c:grouping val="clustered"/>
        <c:varyColors val="0"/>
        <c:ser>
          <c:idx val="0"/>
          <c:order val="0"/>
          <c:tx>
            <c:strRef>
              <c:f>' خلاصه عملکرد ماهانه'!$AK$67:$AL$67</c:f>
              <c:strCache>
                <c:ptCount val="2"/>
                <c:pt idx="0">
                  <c:v>تعداد شمش استاندارد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خلاصه عملکرد ماهانه'!$Z$66:$AJ$66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ماهانه'!$Z$67:$AJ$67</c:f>
              <c:numCache>
                <c:formatCode>#,##0</c:formatCode>
                <c:ptCount val="11"/>
                <c:pt idx="0">
                  <c:v>1120</c:v>
                </c:pt>
                <c:pt idx="1">
                  <c:v>1305</c:v>
                </c:pt>
                <c:pt idx="2">
                  <c:v>1255</c:v>
                </c:pt>
                <c:pt idx="3">
                  <c:v>830</c:v>
                </c:pt>
                <c:pt idx="4">
                  <c:v>1122</c:v>
                </c:pt>
                <c:pt idx="5">
                  <c:v>1542</c:v>
                </c:pt>
                <c:pt idx="6">
                  <c:v>1146</c:v>
                </c:pt>
                <c:pt idx="7">
                  <c:v>881</c:v>
                </c:pt>
                <c:pt idx="8">
                  <c:v>1247</c:v>
                </c:pt>
                <c:pt idx="9">
                  <c:v>1201</c:v>
                </c:pt>
                <c:pt idx="10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9-413E-B6DE-3797F393B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88127856"/>
        <c:axId val="1988120176"/>
      </c:barChart>
      <c:lineChart>
        <c:grouping val="standard"/>
        <c:varyColors val="0"/>
        <c:ser>
          <c:idx val="2"/>
          <c:order val="2"/>
          <c:tx>
            <c:strRef>
              <c:f>' خلاصه عملکرد ماهانه'!$AK$69:$AL$69</c:f>
              <c:strCache>
                <c:ptCount val="2"/>
                <c:pt idx="0">
                  <c:v>تعداد شمش نرمال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 خلاصه عملکرد ماهانه'!$Z$66:$AJ$66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ماهانه'!$Z$69:$AJ$69</c:f>
              <c:numCache>
                <c:formatCode>#,##0</c:formatCode>
                <c:ptCount val="11"/>
                <c:pt idx="0">
                  <c:v>108</c:v>
                </c:pt>
                <c:pt idx="1">
                  <c:v>162</c:v>
                </c:pt>
                <c:pt idx="2">
                  <c:v>135</c:v>
                </c:pt>
                <c:pt idx="3">
                  <c:v>85</c:v>
                </c:pt>
                <c:pt idx="4">
                  <c:v>80</c:v>
                </c:pt>
                <c:pt idx="5">
                  <c:v>111</c:v>
                </c:pt>
                <c:pt idx="6" formatCode="General">
                  <c:v>88</c:v>
                </c:pt>
                <c:pt idx="7" formatCode="0">
                  <c:v>104</c:v>
                </c:pt>
                <c:pt idx="8" formatCode="0">
                  <c:v>142</c:v>
                </c:pt>
                <c:pt idx="9" formatCode="0">
                  <c:v>138</c:v>
                </c:pt>
                <c:pt idx="10" formatCode="0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99-413E-B6DE-3797F393BC14}"/>
            </c:ext>
          </c:extLst>
        </c:ser>
        <c:ser>
          <c:idx val="3"/>
          <c:order val="3"/>
          <c:tx>
            <c:strRef>
              <c:f>' خلاصه عملکرد ماهانه'!$AK$70:$AL$70</c:f>
              <c:strCache>
                <c:ptCount val="2"/>
                <c:pt idx="0">
                  <c:v>درصد شمش نرمال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 خلاصه عملکرد ماهانه'!$Z$66:$AJ$66</c:f>
              <c:strCache>
                <c:ptCount val="11"/>
                <c:pt idx="0">
                  <c:v>اسفند</c:v>
                </c:pt>
                <c:pt idx="1">
                  <c:v>بهمن</c:v>
                </c:pt>
                <c:pt idx="2">
                  <c:v>دی</c:v>
                </c:pt>
                <c:pt idx="3">
                  <c:v>آذر</c:v>
                </c:pt>
                <c:pt idx="4">
                  <c:v>آبان</c:v>
                </c:pt>
                <c:pt idx="5">
                  <c:v>مهر</c:v>
                </c:pt>
                <c:pt idx="6">
                  <c:v>شهریور</c:v>
                </c:pt>
                <c:pt idx="7">
                  <c:v>مرداد</c:v>
                </c:pt>
                <c:pt idx="8">
                  <c:v>خرداد</c:v>
                </c:pt>
                <c:pt idx="9">
                  <c:v>اردیبهشت</c:v>
                </c:pt>
                <c:pt idx="10">
                  <c:v>فروردین</c:v>
                </c:pt>
              </c:strCache>
            </c:strRef>
          </c:cat>
          <c:val>
            <c:numRef>
              <c:f>' خلاصه عملکرد ماهانه'!$Z$70:$AJ$70</c:f>
              <c:numCache>
                <c:formatCode>0.00%</c:formatCode>
                <c:ptCount val="11"/>
                <c:pt idx="0">
                  <c:v>8.7800000000000003E-2</c:v>
                </c:pt>
                <c:pt idx="1">
                  <c:v>0.1104</c:v>
                </c:pt>
                <c:pt idx="2">
                  <c:v>9.7900000000000001E-2</c:v>
                </c:pt>
                <c:pt idx="3">
                  <c:v>9.2899999999999996E-2</c:v>
                </c:pt>
                <c:pt idx="4">
                  <c:v>6.6600000000000006E-2</c:v>
                </c:pt>
                <c:pt idx="5">
                  <c:v>9.1300000000000006E-2</c:v>
                </c:pt>
                <c:pt idx="6">
                  <c:v>7.1300000000000002E-2</c:v>
                </c:pt>
                <c:pt idx="7">
                  <c:v>0.1056</c:v>
                </c:pt>
                <c:pt idx="8" formatCode="0.0%">
                  <c:v>0.11700000000000001</c:v>
                </c:pt>
                <c:pt idx="9">
                  <c:v>0.1032</c:v>
                </c:pt>
                <c:pt idx="10">
                  <c:v>0.1182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99-413E-B6DE-3797F393B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127856"/>
        <c:axId val="1988120176"/>
      </c:lineChart>
      <c:catAx>
        <c:axId val="18841479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152784"/>
        <c:crosses val="autoZero"/>
        <c:auto val="1"/>
        <c:lblAlgn val="ctr"/>
        <c:lblOffset val="100"/>
        <c:noMultiLvlLbl val="0"/>
      </c:catAx>
      <c:valAx>
        <c:axId val="18841527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147984"/>
        <c:crosses val="autoZero"/>
        <c:crossBetween val="between"/>
      </c:valAx>
      <c:valAx>
        <c:axId val="1988120176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27856"/>
        <c:crossBetween val="between"/>
      </c:valAx>
      <c:catAx>
        <c:axId val="1988127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881201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207309</xdr:colOff>
      <xdr:row>1</xdr:row>
      <xdr:rowOff>34418</xdr:rowOff>
    </xdr:from>
    <xdr:to>
      <xdr:col>24</xdr:col>
      <xdr:colOff>445834</xdr:colOff>
      <xdr:row>18</xdr:row>
      <xdr:rowOff>112060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0F3FE4-6B07-DAE5-3595-FDBE1689C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421820</xdr:colOff>
      <xdr:row>88</xdr:row>
      <xdr:rowOff>123265</xdr:rowOff>
    </xdr:from>
    <xdr:to>
      <xdr:col>24</xdr:col>
      <xdr:colOff>302559</xdr:colOff>
      <xdr:row>111</xdr:row>
      <xdr:rowOff>89647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68EC059-BF10-BD06-A60D-8E979B4EF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164085</xdr:colOff>
      <xdr:row>21</xdr:row>
      <xdr:rowOff>127267</xdr:rowOff>
    </xdr:from>
    <xdr:to>
      <xdr:col>24</xdr:col>
      <xdr:colOff>517073</xdr:colOff>
      <xdr:row>39</xdr:row>
      <xdr:rowOff>272143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B2562C-1943-39AB-C907-E35F1700A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327008</xdr:colOff>
      <xdr:row>64</xdr:row>
      <xdr:rowOff>38503</xdr:rowOff>
    </xdr:from>
    <xdr:to>
      <xdr:col>24</xdr:col>
      <xdr:colOff>381000</xdr:colOff>
      <xdr:row>84</xdr:row>
      <xdr:rowOff>56030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BEF0DFC-4103-8490-E032-8F32E1B55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526676</xdr:colOff>
      <xdr:row>19</xdr:row>
      <xdr:rowOff>291353</xdr:rowOff>
    </xdr:from>
    <xdr:to>
      <xdr:col>38</xdr:col>
      <xdr:colOff>134471</xdr:colOff>
      <xdr:row>37</xdr:row>
      <xdr:rowOff>302559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EE00B77-02B1-0D3C-B438-0B0AD198F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526676</xdr:colOff>
      <xdr:row>66</xdr:row>
      <xdr:rowOff>70034</xdr:rowOff>
    </xdr:from>
    <xdr:to>
      <xdr:col>11</xdr:col>
      <xdr:colOff>1927411</xdr:colOff>
      <xdr:row>84</xdr:row>
      <xdr:rowOff>112059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215698-79F7-659F-E619-5F15ACA9B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448236</xdr:colOff>
      <xdr:row>148</xdr:row>
      <xdr:rowOff>150479</xdr:rowOff>
    </xdr:from>
    <xdr:to>
      <xdr:col>11</xdr:col>
      <xdr:colOff>1535207</xdr:colOff>
      <xdr:row>168</xdr:row>
      <xdr:rowOff>280147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697F4F0-A94B-DDED-CE24-2740BE96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163285</xdr:colOff>
      <xdr:row>41</xdr:row>
      <xdr:rowOff>120066</xdr:rowOff>
    </xdr:from>
    <xdr:to>
      <xdr:col>12</xdr:col>
      <xdr:colOff>149679</xdr:colOff>
      <xdr:row>54</xdr:row>
      <xdr:rowOff>217714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96177C3-A259-16DB-EA47-B969A60AA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273744</xdr:colOff>
      <xdr:row>47</xdr:row>
      <xdr:rowOff>121300</xdr:rowOff>
    </xdr:from>
    <xdr:to>
      <xdr:col>24</xdr:col>
      <xdr:colOff>393953</xdr:colOff>
      <xdr:row>62</xdr:row>
      <xdr:rowOff>87682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B4049DD-B3BB-2E6B-9B72-64F324A38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1</xdr:colOff>
      <xdr:row>42</xdr:row>
      <xdr:rowOff>33617</xdr:rowOff>
    </xdr:from>
    <xdr:to>
      <xdr:col>38</xdr:col>
      <xdr:colOff>403413</xdr:colOff>
      <xdr:row>54</xdr:row>
      <xdr:rowOff>123264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F9F69B-0F28-2629-BE4F-5E56C16F7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504265</xdr:colOff>
      <xdr:row>0</xdr:row>
      <xdr:rowOff>224118</xdr:rowOff>
    </xdr:from>
    <xdr:to>
      <xdr:col>38</xdr:col>
      <xdr:colOff>324971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64385F-CFD5-F218-7145-0F11B32DE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22412</xdr:colOff>
      <xdr:row>98</xdr:row>
      <xdr:rowOff>100853</xdr:rowOff>
    </xdr:from>
    <xdr:to>
      <xdr:col>12</xdr:col>
      <xdr:colOff>11207</xdr:colOff>
      <xdr:row>112</xdr:row>
      <xdr:rowOff>52028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FA9793-36C7-6173-8345-27C729D85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134470</xdr:colOff>
      <xdr:row>120</xdr:row>
      <xdr:rowOff>30417</xdr:rowOff>
    </xdr:from>
    <xdr:to>
      <xdr:col>11</xdr:col>
      <xdr:colOff>1904999</xdr:colOff>
      <xdr:row>141</xdr:row>
      <xdr:rowOff>100853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8B4CD3-596D-52E6-A3FF-E1E707F0EE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705971</xdr:colOff>
      <xdr:row>120</xdr:row>
      <xdr:rowOff>163604</xdr:rowOff>
    </xdr:from>
    <xdr:to>
      <xdr:col>24</xdr:col>
      <xdr:colOff>179294</xdr:colOff>
      <xdr:row>140</xdr:row>
      <xdr:rowOff>56030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3171DC1-F653-257E-C942-3EBF427AD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176893</xdr:colOff>
      <xdr:row>70</xdr:row>
      <xdr:rowOff>163286</xdr:rowOff>
    </xdr:from>
    <xdr:to>
      <xdr:col>38</xdr:col>
      <xdr:colOff>557892</xdr:colOff>
      <xdr:row>86</xdr:row>
      <xdr:rowOff>81644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538887-1E04-A8CB-7625-73D9F84A0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3E8A-0BDB-4876-8A16-2247003A0442}">
  <dimension ref="A1:K45"/>
  <sheetViews>
    <sheetView zoomScaleNormal="100" workbookViewId="0">
      <selection activeCell="E11" sqref="E11"/>
    </sheetView>
  </sheetViews>
  <sheetFormatPr defaultRowHeight="15.75" x14ac:dyDescent="0.25"/>
  <cols>
    <col min="1" max="1" width="12.42578125" style="1" customWidth="1"/>
    <col min="2" max="2" width="11.7109375" style="1" customWidth="1"/>
    <col min="3" max="3" width="11.42578125" style="1" customWidth="1"/>
    <col min="4" max="4" width="11.140625" style="1" customWidth="1"/>
    <col min="5" max="5" width="35.5703125" style="1" customWidth="1"/>
    <col min="6" max="6" width="6.140625" style="1" customWidth="1"/>
    <col min="7" max="7" width="7.5703125" style="1" customWidth="1"/>
    <col min="8" max="16384" width="9.140625" style="1"/>
  </cols>
  <sheetData>
    <row r="1" spans="1:7" ht="27.75" customHeight="1" x14ac:dyDescent="0.25">
      <c r="A1" s="193" t="s">
        <v>114</v>
      </c>
      <c r="B1" s="194"/>
      <c r="C1" s="194"/>
      <c r="D1" s="194"/>
      <c r="E1" s="194"/>
      <c r="F1" s="194"/>
      <c r="G1" s="195"/>
    </row>
    <row r="2" spans="1:7" ht="18" customHeight="1" x14ac:dyDescent="0.25">
      <c r="A2" s="196" t="s">
        <v>24</v>
      </c>
      <c r="B2" s="3" t="s">
        <v>23</v>
      </c>
      <c r="C2" s="3" t="s">
        <v>23</v>
      </c>
      <c r="D2" s="3" t="s">
        <v>23</v>
      </c>
      <c r="E2" s="198" t="s">
        <v>1</v>
      </c>
      <c r="F2" s="199"/>
      <c r="G2" s="202"/>
    </row>
    <row r="3" spans="1:7" ht="17.25" customHeight="1" x14ac:dyDescent="0.25">
      <c r="A3" s="197"/>
      <c r="B3" s="125" t="s">
        <v>54</v>
      </c>
      <c r="C3" s="136" t="s">
        <v>22</v>
      </c>
      <c r="D3" s="135" t="s">
        <v>21</v>
      </c>
      <c r="E3" s="200"/>
      <c r="F3" s="201"/>
      <c r="G3" s="203"/>
    </row>
    <row r="4" spans="1:7" ht="24.75" customHeight="1" x14ac:dyDescent="0.25">
      <c r="A4" s="7">
        <f>SUM(B4:D4)</f>
        <v>2904775</v>
      </c>
      <c r="B4" s="7">
        <v>907125</v>
      </c>
      <c r="C4" s="78">
        <v>973225</v>
      </c>
      <c r="D4" s="78">
        <v>1024425</v>
      </c>
      <c r="E4" s="104" t="s">
        <v>56</v>
      </c>
      <c r="F4" s="2">
        <v>1</v>
      </c>
      <c r="G4" s="204" t="s">
        <v>2</v>
      </c>
    </row>
    <row r="5" spans="1:7" ht="23.25" customHeight="1" x14ac:dyDescent="0.25">
      <c r="A5" s="7">
        <f t="shared" ref="A5:A11" si="0">SUM(B5:D5)</f>
        <v>2857275</v>
      </c>
      <c r="B5" s="7">
        <v>897625</v>
      </c>
      <c r="C5" s="78">
        <v>954325</v>
      </c>
      <c r="D5" s="78">
        <v>1005325</v>
      </c>
      <c r="E5" s="105" t="s">
        <v>57</v>
      </c>
      <c r="F5" s="2">
        <v>2</v>
      </c>
      <c r="G5" s="191"/>
    </row>
    <row r="6" spans="1:7" ht="23.25" customHeight="1" x14ac:dyDescent="0.25">
      <c r="A6" s="7">
        <f>SUM(B6:D6)</f>
        <v>47500</v>
      </c>
      <c r="B6" s="7">
        <v>9500</v>
      </c>
      <c r="C6" s="78">
        <v>18900</v>
      </c>
      <c r="D6" s="78">
        <v>19100</v>
      </c>
      <c r="E6" s="93" t="s">
        <v>33</v>
      </c>
      <c r="F6" s="2">
        <v>3</v>
      </c>
      <c r="G6" s="191"/>
    </row>
    <row r="7" spans="1:7" ht="23.25" customHeight="1" x14ac:dyDescent="0.25">
      <c r="A7" s="100">
        <f>AVERAGE(B7:D7)</f>
        <v>1.6200000000000003E-2</v>
      </c>
      <c r="B7" s="100">
        <v>1.0500000000000001E-2</v>
      </c>
      <c r="C7" s="101">
        <v>1.9400000000000001E-2</v>
      </c>
      <c r="D7" s="101">
        <v>1.8700000000000001E-2</v>
      </c>
      <c r="E7" s="93" t="s">
        <v>81</v>
      </c>
      <c r="F7" s="2">
        <v>4</v>
      </c>
      <c r="G7" s="191"/>
    </row>
    <row r="8" spans="1:7" ht="24.75" customHeight="1" x14ac:dyDescent="0.25">
      <c r="A8" s="7">
        <f t="shared" si="0"/>
        <v>50</v>
      </c>
      <c r="B8" s="7">
        <v>17</v>
      </c>
      <c r="C8" s="78">
        <v>17</v>
      </c>
      <c r="D8" s="78">
        <v>16</v>
      </c>
      <c r="E8" s="105" t="s">
        <v>4</v>
      </c>
      <c r="F8" s="2">
        <v>5</v>
      </c>
      <c r="G8" s="191"/>
    </row>
    <row r="9" spans="1:7" ht="24.75" customHeight="1" x14ac:dyDescent="0.25">
      <c r="A9" s="82">
        <f t="shared" si="0"/>
        <v>135</v>
      </c>
      <c r="B9" s="82">
        <v>41</v>
      </c>
      <c r="C9" s="79">
        <v>47</v>
      </c>
      <c r="D9" s="79">
        <v>47</v>
      </c>
      <c r="E9" s="105" t="s">
        <v>20</v>
      </c>
      <c r="F9" s="2">
        <v>6</v>
      </c>
      <c r="G9" s="191"/>
    </row>
    <row r="10" spans="1:7" ht="24.75" customHeight="1" x14ac:dyDescent="0.25">
      <c r="A10" s="82">
        <f t="shared" si="0"/>
        <v>4</v>
      </c>
      <c r="B10" s="82">
        <v>0</v>
      </c>
      <c r="C10" s="79">
        <v>2</v>
      </c>
      <c r="D10" s="79">
        <v>2</v>
      </c>
      <c r="E10" s="105" t="s">
        <v>58</v>
      </c>
      <c r="F10" s="2">
        <v>7</v>
      </c>
      <c r="G10" s="191"/>
    </row>
    <row r="11" spans="1:7" ht="24.75" customHeight="1" x14ac:dyDescent="0.25">
      <c r="A11" s="82">
        <f t="shared" si="0"/>
        <v>8</v>
      </c>
      <c r="B11" s="82">
        <v>2</v>
      </c>
      <c r="C11" s="79">
        <v>2</v>
      </c>
      <c r="D11" s="79">
        <v>4</v>
      </c>
      <c r="E11" s="105" t="s">
        <v>60</v>
      </c>
      <c r="F11" s="2">
        <v>8</v>
      </c>
      <c r="G11" s="191"/>
    </row>
    <row r="12" spans="1:7" ht="25.5" customHeight="1" x14ac:dyDescent="0.25">
      <c r="A12" s="84">
        <f>AVERAGE(B12:D12)</f>
        <v>0.1849537037037037</v>
      </c>
      <c r="B12" s="87">
        <v>0.19791666666666666</v>
      </c>
      <c r="C12" s="80">
        <v>0.18472222222222223</v>
      </c>
      <c r="D12" s="80">
        <v>0.17222222222222225</v>
      </c>
      <c r="E12" s="105" t="s">
        <v>19</v>
      </c>
      <c r="F12" s="2">
        <v>9</v>
      </c>
      <c r="G12" s="191"/>
    </row>
    <row r="13" spans="1:7" ht="24.75" customHeight="1" x14ac:dyDescent="0.25">
      <c r="A13" s="90">
        <f>SUM(B13:D13)</f>
        <v>24.013194444444444</v>
      </c>
      <c r="B13" s="90">
        <v>7.6895833333333341</v>
      </c>
      <c r="C13" s="89">
        <v>8.0625</v>
      </c>
      <c r="D13" s="89">
        <v>8.2611111111111111</v>
      </c>
      <c r="E13" s="105" t="s">
        <v>65</v>
      </c>
      <c r="F13" s="2">
        <v>10</v>
      </c>
      <c r="G13" s="191"/>
    </row>
    <row r="14" spans="1:7" ht="24.75" customHeight="1" x14ac:dyDescent="0.25">
      <c r="A14" s="85">
        <f>AVERAGE(B14:D14)</f>
        <v>83.93</v>
      </c>
      <c r="B14" s="85">
        <v>81.900000000000006</v>
      </c>
      <c r="C14" s="86">
        <v>83.81</v>
      </c>
      <c r="D14" s="86">
        <v>86.08</v>
      </c>
      <c r="E14" s="104" t="s">
        <v>64</v>
      </c>
      <c r="F14" s="2">
        <v>11</v>
      </c>
      <c r="G14" s="191"/>
    </row>
    <row r="15" spans="1:7" ht="23.25" customHeight="1" x14ac:dyDescent="0.25">
      <c r="A15" s="97">
        <f>AVERAGE(B15:D15)</f>
        <v>88.339999999999989</v>
      </c>
      <c r="B15" s="85">
        <v>88.86</v>
      </c>
      <c r="C15" s="86">
        <v>87.73</v>
      </c>
      <c r="D15" s="86">
        <v>88.43</v>
      </c>
      <c r="E15" s="104" t="s">
        <v>59</v>
      </c>
      <c r="F15" s="2">
        <v>12</v>
      </c>
      <c r="G15" s="191"/>
    </row>
    <row r="16" spans="1:7" ht="25.5" customHeight="1" x14ac:dyDescent="0.25">
      <c r="A16" s="7">
        <f>AVERAGE(B16:D16)</f>
        <v>58212</v>
      </c>
      <c r="B16" s="7">
        <v>53360</v>
      </c>
      <c r="C16" s="78">
        <v>57249</v>
      </c>
      <c r="D16" s="78">
        <v>64027</v>
      </c>
      <c r="E16" s="106" t="s">
        <v>18</v>
      </c>
      <c r="F16" s="2">
        <v>13</v>
      </c>
      <c r="G16" s="191"/>
    </row>
    <row r="17" spans="1:11" ht="24" customHeight="1" x14ac:dyDescent="0.25">
      <c r="A17" s="81" t="s">
        <v>25</v>
      </c>
      <c r="B17" s="7">
        <v>21400</v>
      </c>
      <c r="C17" s="78">
        <v>31075</v>
      </c>
      <c r="D17" s="78">
        <v>42700</v>
      </c>
      <c r="E17" s="106" t="s">
        <v>17</v>
      </c>
      <c r="F17" s="2">
        <v>14</v>
      </c>
      <c r="G17" s="191"/>
    </row>
    <row r="18" spans="1:11" ht="24" customHeight="1" x14ac:dyDescent="0.25">
      <c r="A18" s="81" t="s">
        <v>25</v>
      </c>
      <c r="B18" s="7">
        <v>71450</v>
      </c>
      <c r="C18" s="78">
        <v>72800</v>
      </c>
      <c r="D18" s="78">
        <v>71875</v>
      </c>
      <c r="E18" s="107" t="s">
        <v>16</v>
      </c>
      <c r="F18" s="2">
        <v>15</v>
      </c>
      <c r="G18" s="191"/>
    </row>
    <row r="19" spans="1:11" ht="24.75" customHeight="1" x14ac:dyDescent="0.25">
      <c r="A19" s="90">
        <f>SUM(B19:D19)</f>
        <v>6.8416666666666668</v>
      </c>
      <c r="B19" s="90">
        <v>2.4006944444444445</v>
      </c>
      <c r="C19" s="89">
        <v>2.2159722222222222</v>
      </c>
      <c r="D19" s="92">
        <v>2.2250000000000001</v>
      </c>
      <c r="E19" s="96" t="s">
        <v>61</v>
      </c>
      <c r="F19" s="2">
        <v>16</v>
      </c>
      <c r="G19" s="191"/>
    </row>
    <row r="20" spans="1:11" ht="24.75" customHeight="1" x14ac:dyDescent="0.25">
      <c r="A20" s="138">
        <f>AVERAGE(B20:D20)</f>
        <v>0.1365740740740741</v>
      </c>
      <c r="B20" s="138">
        <v>0.14097222222222222</v>
      </c>
      <c r="C20" s="139">
        <v>0.12986111111111112</v>
      </c>
      <c r="D20" s="140">
        <v>0.1388888888888889</v>
      </c>
      <c r="E20" s="141" t="s">
        <v>80</v>
      </c>
      <c r="F20" s="2">
        <v>17</v>
      </c>
      <c r="G20" s="192"/>
    </row>
    <row r="21" spans="1:11" ht="24" customHeight="1" x14ac:dyDescent="0.25">
      <c r="A21" s="137">
        <f>SUM(B21:D21)</f>
        <v>30250</v>
      </c>
      <c r="B21" s="137">
        <v>9630</v>
      </c>
      <c r="C21" s="142">
        <v>9810</v>
      </c>
      <c r="D21" s="142">
        <v>10810</v>
      </c>
      <c r="E21" s="108" t="s">
        <v>66</v>
      </c>
      <c r="F21" s="2">
        <v>18</v>
      </c>
      <c r="G21" s="188" t="s">
        <v>15</v>
      </c>
    </row>
    <row r="22" spans="1:11" ht="25.5" customHeight="1" x14ac:dyDescent="0.25">
      <c r="A22" s="7">
        <f>SUM(B22:D22)</f>
        <v>657</v>
      </c>
      <c r="B22" s="7">
        <v>187</v>
      </c>
      <c r="C22" s="79">
        <v>190</v>
      </c>
      <c r="D22" s="79">
        <v>280</v>
      </c>
      <c r="E22" s="103" t="s">
        <v>67</v>
      </c>
      <c r="F22" s="2">
        <v>19</v>
      </c>
      <c r="G22" s="188"/>
    </row>
    <row r="23" spans="1:11" ht="25.5" customHeight="1" x14ac:dyDescent="0.25">
      <c r="A23" s="7">
        <f>SUM(B23:D23)</f>
        <v>4463</v>
      </c>
      <c r="B23" s="7">
        <v>1229</v>
      </c>
      <c r="C23" s="78">
        <v>1892</v>
      </c>
      <c r="D23" s="78">
        <v>1342</v>
      </c>
      <c r="E23" s="103" t="s">
        <v>68</v>
      </c>
      <c r="F23" s="2">
        <v>20</v>
      </c>
      <c r="G23" s="188"/>
    </row>
    <row r="24" spans="1:11" ht="25.5" customHeight="1" x14ac:dyDescent="0.25">
      <c r="A24" s="100">
        <f>AVERAGE(B24:D24)</f>
        <v>0.8895333333333334</v>
      </c>
      <c r="B24" s="100">
        <v>0.89570000000000005</v>
      </c>
      <c r="C24" s="101">
        <v>0.87370000000000003</v>
      </c>
      <c r="D24" s="101">
        <v>0.8992</v>
      </c>
      <c r="E24" s="109" t="s">
        <v>14</v>
      </c>
      <c r="F24" s="2">
        <v>21</v>
      </c>
      <c r="G24" s="187" t="s">
        <v>7</v>
      </c>
    </row>
    <row r="25" spans="1:11" ht="25.5" customHeight="1" x14ac:dyDescent="0.25">
      <c r="A25" s="7">
        <f>SUM(B25:D25)</f>
        <v>1305</v>
      </c>
      <c r="B25" s="7">
        <v>412</v>
      </c>
      <c r="C25" s="78">
        <v>429</v>
      </c>
      <c r="D25" s="91">
        <v>464</v>
      </c>
      <c r="E25" s="110" t="s">
        <v>62</v>
      </c>
      <c r="F25" s="2">
        <v>22</v>
      </c>
      <c r="G25" s="188"/>
      <c r="K25" s="143"/>
    </row>
    <row r="26" spans="1:11" ht="25.5" customHeight="1" x14ac:dyDescent="0.25">
      <c r="A26" s="7">
        <f>SUM(B26:D26)</f>
        <v>162</v>
      </c>
      <c r="B26" s="7">
        <v>48</v>
      </c>
      <c r="C26" s="78">
        <v>62</v>
      </c>
      <c r="D26" s="91">
        <v>52</v>
      </c>
      <c r="E26" s="110" t="s">
        <v>63</v>
      </c>
      <c r="F26" s="2">
        <v>23</v>
      </c>
      <c r="G26" s="188"/>
      <c r="K26" s="143"/>
    </row>
    <row r="27" spans="1:11" ht="24" customHeight="1" x14ac:dyDescent="0.25">
      <c r="A27" s="100">
        <f>AVERAGE(B27:D27)</f>
        <v>0.11046666666666667</v>
      </c>
      <c r="B27" s="100">
        <v>0.1043</v>
      </c>
      <c r="C27" s="101">
        <v>0.1263</v>
      </c>
      <c r="D27" s="102">
        <v>0.1008</v>
      </c>
      <c r="E27" s="110" t="s">
        <v>13</v>
      </c>
      <c r="F27" s="2">
        <v>24</v>
      </c>
      <c r="G27" s="189"/>
      <c r="K27" s="143"/>
    </row>
    <row r="28" spans="1:11" ht="23.25" customHeight="1" x14ac:dyDescent="0.25">
      <c r="A28" s="90">
        <f>SUM(B28:D28)</f>
        <v>0.8</v>
      </c>
      <c r="B28" s="83">
        <v>0.42777777777777781</v>
      </c>
      <c r="C28" s="88">
        <v>0.22847222222222222</v>
      </c>
      <c r="D28" s="80">
        <v>0.14375000000000002</v>
      </c>
      <c r="E28" s="111" t="s">
        <v>69</v>
      </c>
      <c r="F28" s="2">
        <v>25</v>
      </c>
      <c r="G28" s="190" t="s">
        <v>8</v>
      </c>
      <c r="K28" s="143"/>
    </row>
    <row r="29" spans="1:11" ht="26.25" customHeight="1" x14ac:dyDescent="0.25">
      <c r="A29" s="84">
        <f>SUM(B29:D29)</f>
        <v>0.38333333333333336</v>
      </c>
      <c r="B29" s="87">
        <v>0.17361111111111113</v>
      </c>
      <c r="C29" s="88">
        <v>0.13333333333333333</v>
      </c>
      <c r="D29" s="88">
        <v>7.6388888888888895E-2</v>
      </c>
      <c r="E29" s="105" t="s">
        <v>12</v>
      </c>
      <c r="F29" s="2">
        <v>26</v>
      </c>
      <c r="G29" s="191"/>
    </row>
    <row r="30" spans="1:11" ht="25.5" customHeight="1" x14ac:dyDescent="0.25">
      <c r="A30" s="84">
        <f>SUM(B30:D30)</f>
        <v>0.27430555555555558</v>
      </c>
      <c r="B30" s="87">
        <v>0.1111111111111111</v>
      </c>
      <c r="C30" s="88">
        <v>9.0277777777777776E-2</v>
      </c>
      <c r="D30" s="88">
        <v>7.2916666666666671E-2</v>
      </c>
      <c r="E30" s="105" t="s">
        <v>55</v>
      </c>
      <c r="F30" s="2">
        <v>27</v>
      </c>
      <c r="G30" s="191"/>
    </row>
    <row r="31" spans="1:11" ht="24.75" customHeight="1" x14ac:dyDescent="0.25">
      <c r="A31" s="99">
        <f>SUM(A28:A29)</f>
        <v>1.1833333333333333</v>
      </c>
      <c r="B31" s="84">
        <f>SUM(B28:B29)</f>
        <v>0.60138888888888897</v>
      </c>
      <c r="C31" s="98">
        <f>SUM(C28:C29)</f>
        <v>0.36180555555555555</v>
      </c>
      <c r="D31" s="98">
        <f>SUM(D28:D29)</f>
        <v>0.22013888888888891</v>
      </c>
      <c r="E31" s="105" t="s">
        <v>11</v>
      </c>
      <c r="F31" s="2">
        <v>28</v>
      </c>
      <c r="G31" s="192"/>
    </row>
    <row r="32" spans="1:11" ht="19.5" customHeight="1" x14ac:dyDescent="0.25">
      <c r="D32" s="144"/>
    </row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</sheetData>
  <mergeCells count="8">
    <mergeCell ref="G24:G27"/>
    <mergeCell ref="G28:G31"/>
    <mergeCell ref="A1:G1"/>
    <mergeCell ref="A2:A3"/>
    <mergeCell ref="E2:F3"/>
    <mergeCell ref="G2:G3"/>
    <mergeCell ref="G21:G23"/>
    <mergeCell ref="G4:G20"/>
  </mergeCells>
  <printOptions horizontalCentered="1"/>
  <pageMargins left="0.25" right="0.25" top="0.5" bottom="0.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B08B-3940-4E13-AE1F-18B72504C9A2}">
  <dimension ref="A1:AZ170"/>
  <sheetViews>
    <sheetView showGridLines="0" tabSelected="1" view="pageLayout" topLeftCell="Y71" zoomScaleNormal="110" workbookViewId="0">
      <selection activeCell="AN71" sqref="AN71"/>
    </sheetView>
  </sheetViews>
  <sheetFormatPr defaultColWidth="9" defaultRowHeight="15.75" x14ac:dyDescent="0.25"/>
  <cols>
    <col min="1" max="4" width="10.42578125" style="4" customWidth="1"/>
    <col min="5" max="5" width="10" style="4" customWidth="1"/>
    <col min="6" max="6" width="9.5703125" style="4" customWidth="1"/>
    <col min="7" max="7" width="10" style="4" customWidth="1"/>
    <col min="8" max="11" width="10.140625" style="4" customWidth="1"/>
    <col min="12" max="12" width="27" style="4" customWidth="1"/>
    <col min="13" max="13" width="4.140625" style="4" customWidth="1"/>
    <col min="14" max="15" width="10.5703125" style="4" customWidth="1"/>
    <col min="16" max="16" width="10.42578125" style="4" customWidth="1"/>
    <col min="17" max="17" width="10.7109375" style="4" customWidth="1"/>
    <col min="18" max="18" width="10.42578125" style="4" customWidth="1"/>
    <col min="19" max="19" width="10.28515625" style="4" customWidth="1"/>
    <col min="20" max="20" width="10.42578125" style="4" customWidth="1"/>
    <col min="21" max="21" width="11" style="4" customWidth="1"/>
    <col min="22" max="22" width="9.5703125" style="4" customWidth="1"/>
    <col min="23" max="23" width="10.28515625" style="4" customWidth="1"/>
    <col min="24" max="24" width="24.85546875" style="4" customWidth="1"/>
    <col min="25" max="28" width="9" style="4"/>
    <col min="29" max="29" width="10.140625" style="4" customWidth="1"/>
    <col min="30" max="30" width="10.5703125" style="4" customWidth="1"/>
    <col min="31" max="31" width="10.140625" style="4" customWidth="1"/>
    <col min="32" max="37" width="9" style="4"/>
    <col min="38" max="38" width="13.7109375" style="4" customWidth="1"/>
    <col min="39" max="39" width="10.5703125" style="4" customWidth="1"/>
    <col min="40" max="44" width="9" style="4"/>
    <col min="45" max="45" width="9.28515625" style="4" bestFit="1" customWidth="1"/>
    <col min="46" max="50" width="9" style="4"/>
    <col min="51" max="51" width="9.28515625" style="4" bestFit="1" customWidth="1"/>
    <col min="52" max="52" width="24.42578125" style="4" customWidth="1"/>
    <col min="53" max="16384" width="9" style="4"/>
  </cols>
  <sheetData>
    <row r="1" spans="1:13" ht="50.25" customHeight="1" x14ac:dyDescent="0.25">
      <c r="A1" s="232" t="s">
        <v>82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</row>
    <row r="2" spans="1:13" ht="33" customHeight="1" x14ac:dyDescent="0.25">
      <c r="A2" s="5" t="s">
        <v>84</v>
      </c>
      <c r="B2" s="5" t="s">
        <v>83</v>
      </c>
      <c r="C2" s="5" t="s">
        <v>51</v>
      </c>
      <c r="D2" s="5" t="s">
        <v>38</v>
      </c>
      <c r="E2" s="5" t="s">
        <v>36</v>
      </c>
      <c r="F2" s="5" t="s">
        <v>34</v>
      </c>
      <c r="G2" s="5" t="s">
        <v>31</v>
      </c>
      <c r="H2" s="5" t="s">
        <v>26</v>
      </c>
      <c r="I2" s="5" t="s">
        <v>0</v>
      </c>
      <c r="J2" s="5" t="s">
        <v>86</v>
      </c>
      <c r="K2" s="5" t="s">
        <v>85</v>
      </c>
      <c r="L2" s="32" t="s">
        <v>1</v>
      </c>
      <c r="M2" s="33"/>
    </row>
    <row r="3" spans="1:13" ht="30" customHeight="1" x14ac:dyDescent="0.25">
      <c r="A3" s="9">
        <v>2453975</v>
      </c>
      <c r="B3" s="9">
        <v>2904775</v>
      </c>
      <c r="C3" s="9">
        <v>2768250</v>
      </c>
      <c r="D3" s="9">
        <v>1861325</v>
      </c>
      <c r="E3" s="9">
        <v>2466850</v>
      </c>
      <c r="F3" s="9">
        <v>3409600</v>
      </c>
      <c r="G3" s="9">
        <v>2593775</v>
      </c>
      <c r="H3" s="9">
        <v>2009225</v>
      </c>
      <c r="I3" s="9">
        <v>2772275</v>
      </c>
      <c r="J3" s="9">
        <v>2645405</v>
      </c>
      <c r="K3" s="9">
        <v>1234585</v>
      </c>
      <c r="L3" s="145" t="s">
        <v>87</v>
      </c>
      <c r="M3" s="235" t="s">
        <v>2</v>
      </c>
    </row>
    <row r="4" spans="1:13" ht="28.5" customHeight="1" x14ac:dyDescent="0.25">
      <c r="A4" s="10">
        <v>2434475</v>
      </c>
      <c r="B4" s="10">
        <v>2857275</v>
      </c>
      <c r="C4" s="10">
        <v>2748450</v>
      </c>
      <c r="D4" s="10">
        <v>1836725</v>
      </c>
      <c r="E4" s="10">
        <v>2445150</v>
      </c>
      <c r="F4" s="10">
        <v>3336850</v>
      </c>
      <c r="G4" s="10">
        <v>2471675</v>
      </c>
      <c r="H4" s="10">
        <v>1948975</v>
      </c>
      <c r="I4" s="10">
        <v>2662275</v>
      </c>
      <c r="J4" s="10">
        <v>2589975</v>
      </c>
      <c r="K4" s="10">
        <v>1195585</v>
      </c>
      <c r="L4" s="28" t="s">
        <v>88</v>
      </c>
      <c r="M4" s="235"/>
    </row>
    <row r="5" spans="1:13" ht="27.75" customHeight="1" x14ac:dyDescent="0.25">
      <c r="A5" s="9">
        <v>25</v>
      </c>
      <c r="B5" s="9">
        <v>26</v>
      </c>
      <c r="C5" s="9">
        <v>26</v>
      </c>
      <c r="D5" s="9">
        <v>26</v>
      </c>
      <c r="E5" s="9">
        <v>26</v>
      </c>
      <c r="F5" s="9">
        <v>30</v>
      </c>
      <c r="G5" s="11">
        <v>22</v>
      </c>
      <c r="H5" s="11">
        <v>26</v>
      </c>
      <c r="I5" s="11">
        <v>26</v>
      </c>
      <c r="J5" s="11">
        <v>25</v>
      </c>
      <c r="K5" s="11">
        <v>12</v>
      </c>
      <c r="L5" s="6" t="s">
        <v>3</v>
      </c>
      <c r="M5" s="235"/>
    </row>
    <row r="6" spans="1:13" ht="27" customHeight="1" x14ac:dyDescent="0.25">
      <c r="A6" s="10">
        <v>42</v>
      </c>
      <c r="B6" s="10">
        <v>50</v>
      </c>
      <c r="C6" s="10">
        <v>50</v>
      </c>
      <c r="D6" s="10">
        <v>40</v>
      </c>
      <c r="E6" s="10">
        <v>46</v>
      </c>
      <c r="F6" s="10">
        <v>59</v>
      </c>
      <c r="G6" s="12">
        <v>42</v>
      </c>
      <c r="H6" s="12">
        <v>44</v>
      </c>
      <c r="I6" s="12">
        <v>49</v>
      </c>
      <c r="J6" s="12">
        <v>48</v>
      </c>
      <c r="K6" s="12">
        <v>24</v>
      </c>
      <c r="L6" s="8" t="s">
        <v>4</v>
      </c>
      <c r="M6" s="235"/>
    </row>
    <row r="7" spans="1:13" ht="26.1" customHeight="1" x14ac:dyDescent="0.25">
      <c r="A7" s="9">
        <v>829500</v>
      </c>
      <c r="B7" s="9">
        <v>1024425</v>
      </c>
      <c r="C7" s="9">
        <v>921600</v>
      </c>
      <c r="D7" s="9">
        <v>564300</v>
      </c>
      <c r="E7" s="9">
        <v>883825</v>
      </c>
      <c r="F7" s="94" t="s">
        <v>25</v>
      </c>
      <c r="G7" s="9">
        <v>1223575</v>
      </c>
      <c r="H7" s="9">
        <v>949375</v>
      </c>
      <c r="I7" s="9">
        <v>1312150</v>
      </c>
      <c r="J7" s="9">
        <v>1264170</v>
      </c>
      <c r="K7" s="9">
        <v>702135</v>
      </c>
      <c r="L7" s="6" t="s">
        <v>37</v>
      </c>
      <c r="M7" s="235"/>
    </row>
    <row r="8" spans="1:13" ht="26.1" customHeight="1" x14ac:dyDescent="0.25">
      <c r="A8" s="10">
        <v>860650</v>
      </c>
      <c r="B8" s="10">
        <v>973225</v>
      </c>
      <c r="C8" s="10">
        <v>967125</v>
      </c>
      <c r="D8" s="10">
        <v>675900</v>
      </c>
      <c r="E8" s="10">
        <v>831425</v>
      </c>
      <c r="F8" s="95" t="s">
        <v>25</v>
      </c>
      <c r="G8" s="10">
        <v>1248100</v>
      </c>
      <c r="H8" s="10">
        <v>999600</v>
      </c>
      <c r="I8" s="10">
        <v>1460125</v>
      </c>
      <c r="J8" s="10">
        <v>1381235</v>
      </c>
      <c r="K8" s="10">
        <v>532450</v>
      </c>
      <c r="L8" s="8" t="s">
        <v>27</v>
      </c>
      <c r="M8" s="235"/>
    </row>
    <row r="9" spans="1:13" ht="26.1" customHeight="1" x14ac:dyDescent="0.25">
      <c r="A9" s="9">
        <v>763825</v>
      </c>
      <c r="B9" s="9">
        <v>907125</v>
      </c>
      <c r="C9" s="9">
        <v>879525</v>
      </c>
      <c r="D9" s="9">
        <v>621125</v>
      </c>
      <c r="E9" s="9">
        <v>751600</v>
      </c>
      <c r="F9" s="94" t="s">
        <v>25</v>
      </c>
      <c r="G9" s="9" t="s">
        <v>25</v>
      </c>
      <c r="H9" s="9" t="s">
        <v>25</v>
      </c>
      <c r="I9" s="9" t="s">
        <v>25</v>
      </c>
      <c r="J9" s="9" t="s">
        <v>25</v>
      </c>
      <c r="K9" s="9" t="s">
        <v>25</v>
      </c>
      <c r="L9" s="6" t="s">
        <v>35</v>
      </c>
      <c r="M9" s="235"/>
    </row>
    <row r="10" spans="1:13" ht="26.1" customHeight="1" x14ac:dyDescent="0.25">
      <c r="A10" s="10">
        <v>2</v>
      </c>
      <c r="B10" s="10">
        <v>4</v>
      </c>
      <c r="C10" s="10">
        <v>3</v>
      </c>
      <c r="D10" s="10">
        <v>2</v>
      </c>
      <c r="E10" s="10">
        <v>4</v>
      </c>
      <c r="F10" s="10">
        <v>8</v>
      </c>
      <c r="G10" s="10">
        <v>5</v>
      </c>
      <c r="H10" s="10">
        <v>4</v>
      </c>
      <c r="I10" s="10">
        <v>4</v>
      </c>
      <c r="J10" s="10">
        <v>6</v>
      </c>
      <c r="K10" s="10">
        <v>1</v>
      </c>
      <c r="L10" s="25" t="s">
        <v>52</v>
      </c>
      <c r="M10" s="235"/>
    </row>
    <row r="11" spans="1:13" ht="26.1" customHeight="1" x14ac:dyDescent="0.25">
      <c r="A11" s="9">
        <v>0</v>
      </c>
      <c r="B11" s="9">
        <v>0</v>
      </c>
      <c r="C11" s="9">
        <v>0</v>
      </c>
      <c r="D11" s="9">
        <v>0</v>
      </c>
      <c r="E11" s="9">
        <v>2</v>
      </c>
      <c r="F11" s="9">
        <v>0</v>
      </c>
      <c r="G11" s="9">
        <v>4</v>
      </c>
      <c r="H11" s="9">
        <v>1</v>
      </c>
      <c r="I11" s="9">
        <v>2</v>
      </c>
      <c r="J11" s="9">
        <v>1</v>
      </c>
      <c r="K11" s="9">
        <v>2</v>
      </c>
      <c r="L11" s="145" t="s">
        <v>89</v>
      </c>
      <c r="M11" s="235"/>
    </row>
    <row r="12" spans="1:13" ht="26.1" customHeight="1" x14ac:dyDescent="0.25">
      <c r="A12" s="10">
        <v>109</v>
      </c>
      <c r="B12" s="10">
        <v>135</v>
      </c>
      <c r="C12" s="10">
        <v>123</v>
      </c>
      <c r="D12" s="10">
        <v>80</v>
      </c>
      <c r="E12" s="10">
        <v>111</v>
      </c>
      <c r="F12" s="10">
        <v>144</v>
      </c>
      <c r="G12" s="12">
        <v>117</v>
      </c>
      <c r="H12" s="12">
        <v>98</v>
      </c>
      <c r="I12" s="12">
        <v>133</v>
      </c>
      <c r="J12" s="12">
        <v>121</v>
      </c>
      <c r="K12" s="12">
        <v>54</v>
      </c>
      <c r="L12" s="28" t="s">
        <v>90</v>
      </c>
      <c r="M12" s="235"/>
    </row>
    <row r="13" spans="1:13" ht="26.1" customHeight="1" x14ac:dyDescent="0.25">
      <c r="A13" s="9">
        <v>2</v>
      </c>
      <c r="B13" s="9">
        <v>8</v>
      </c>
      <c r="C13" s="9">
        <v>4</v>
      </c>
      <c r="D13" s="9">
        <v>5</v>
      </c>
      <c r="E13" s="9">
        <v>7</v>
      </c>
      <c r="F13" s="9">
        <v>10</v>
      </c>
      <c r="G13" s="11">
        <v>9</v>
      </c>
      <c r="H13" s="11">
        <v>12</v>
      </c>
      <c r="I13" s="11">
        <v>9</v>
      </c>
      <c r="J13" s="11">
        <v>7</v>
      </c>
      <c r="K13" s="11">
        <v>4</v>
      </c>
      <c r="L13" s="146" t="s">
        <v>91</v>
      </c>
      <c r="M13" s="235"/>
    </row>
    <row r="14" spans="1:13" ht="26.1" customHeight="1" x14ac:dyDescent="0.25">
      <c r="A14" s="10">
        <v>107</v>
      </c>
      <c r="B14" s="10">
        <v>127</v>
      </c>
      <c r="C14" s="10">
        <v>119</v>
      </c>
      <c r="D14" s="10">
        <v>75</v>
      </c>
      <c r="E14" s="10">
        <v>104</v>
      </c>
      <c r="F14" s="10">
        <v>134</v>
      </c>
      <c r="G14" s="12">
        <v>108</v>
      </c>
      <c r="H14" s="12">
        <v>80</v>
      </c>
      <c r="I14" s="12">
        <v>124</v>
      </c>
      <c r="J14" s="12">
        <v>114</v>
      </c>
      <c r="K14" s="12">
        <v>50</v>
      </c>
      <c r="L14" s="28" t="s">
        <v>92</v>
      </c>
      <c r="M14" s="235"/>
    </row>
    <row r="15" spans="1:13" ht="26.1" customHeight="1" x14ac:dyDescent="0.25">
      <c r="A15" s="9">
        <v>13</v>
      </c>
      <c r="B15" s="9">
        <v>17</v>
      </c>
      <c r="C15" s="9">
        <v>16</v>
      </c>
      <c r="D15" s="9">
        <v>10</v>
      </c>
      <c r="E15" s="9">
        <v>15</v>
      </c>
      <c r="F15" s="9">
        <v>15</v>
      </c>
      <c r="G15" s="11">
        <v>13</v>
      </c>
      <c r="H15" s="11">
        <v>10</v>
      </c>
      <c r="I15" s="11">
        <v>13</v>
      </c>
      <c r="J15" s="11">
        <v>12</v>
      </c>
      <c r="K15" s="11">
        <v>7</v>
      </c>
      <c r="L15" s="27" t="s">
        <v>93</v>
      </c>
      <c r="M15" s="235"/>
    </row>
    <row r="16" spans="1:13" ht="26.1" customHeight="1" x14ac:dyDescent="0.25">
      <c r="A16" s="15">
        <v>3.5013888888888887</v>
      </c>
      <c r="B16" s="15">
        <v>6.8416666666666659</v>
      </c>
      <c r="C16" s="15">
        <v>6.4222222222222216</v>
      </c>
      <c r="D16" s="15">
        <v>4.4548611111111116</v>
      </c>
      <c r="E16" s="15">
        <v>5.759722222222222</v>
      </c>
      <c r="F16" s="15">
        <v>7.6381944444444443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28" t="s">
        <v>94</v>
      </c>
      <c r="M16" s="235"/>
    </row>
    <row r="17" spans="1:30" ht="26.1" customHeight="1" x14ac:dyDescent="0.25">
      <c r="A17" s="23">
        <v>0.18333333333333335</v>
      </c>
      <c r="B17" s="23">
        <v>0.18472222222222223</v>
      </c>
      <c r="C17" s="23">
        <v>0.18124999999999999</v>
      </c>
      <c r="D17" s="23">
        <v>0.20972222222222223</v>
      </c>
      <c r="E17" s="23">
        <v>0.19791666666666666</v>
      </c>
      <c r="F17" s="23">
        <v>0.18472222222222223</v>
      </c>
      <c r="G17" s="13">
        <v>0.17916666666666667</v>
      </c>
      <c r="H17" s="14">
        <v>0.16597222222222222</v>
      </c>
      <c r="I17" s="13">
        <v>0.15069444444444444</v>
      </c>
      <c r="J17" s="14">
        <v>0.17777777777777778</v>
      </c>
      <c r="K17" s="13">
        <v>0.20416666666666669</v>
      </c>
      <c r="L17" s="27" t="s">
        <v>95</v>
      </c>
      <c r="M17" s="235"/>
    </row>
    <row r="18" spans="1:30" ht="26.1" customHeight="1" x14ac:dyDescent="0.25">
      <c r="A18" s="152">
        <v>20.285416666666666</v>
      </c>
      <c r="B18" s="152">
        <v>24.013194444444448</v>
      </c>
      <c r="C18" s="152">
        <v>22.575694444444448</v>
      </c>
      <c r="D18" s="152">
        <v>16.559027777777779</v>
      </c>
      <c r="E18" s="152">
        <v>21.317361111111111</v>
      </c>
      <c r="F18" s="152">
        <v>27.463194444444444</v>
      </c>
      <c r="G18" s="152">
        <v>20.495138888888889</v>
      </c>
      <c r="H18" s="153">
        <v>15.639583333333334</v>
      </c>
      <c r="I18" s="152">
        <v>19.55</v>
      </c>
      <c r="J18" s="153">
        <v>21.790277777777778</v>
      </c>
      <c r="K18" s="152">
        <v>10.702777777777778</v>
      </c>
      <c r="L18" s="154" t="s">
        <v>96</v>
      </c>
      <c r="M18" s="235"/>
    </row>
    <row r="19" spans="1:30" ht="26.1" customHeight="1" x14ac:dyDescent="0.25">
      <c r="A19" s="155">
        <v>84.12</v>
      </c>
      <c r="B19" s="155">
        <v>83.93</v>
      </c>
      <c r="C19" s="155">
        <v>84.38</v>
      </c>
      <c r="D19" s="155">
        <v>78.13</v>
      </c>
      <c r="E19" s="155">
        <v>80.459999999999994</v>
      </c>
      <c r="F19" s="155">
        <v>84.6</v>
      </c>
      <c r="G19" s="156">
        <v>83.91</v>
      </c>
      <c r="H19" s="156">
        <v>86.57</v>
      </c>
      <c r="I19" s="157">
        <v>94.56</v>
      </c>
      <c r="J19" s="156">
        <v>84.29</v>
      </c>
      <c r="K19" s="157">
        <v>80.180000000000007</v>
      </c>
      <c r="L19" s="158" t="s">
        <v>97</v>
      </c>
      <c r="M19" s="235"/>
    </row>
    <row r="20" spans="1:30" ht="30" customHeight="1" x14ac:dyDescent="0.25">
      <c r="A20" s="151" t="s">
        <v>84</v>
      </c>
      <c r="B20" s="151" t="s">
        <v>83</v>
      </c>
      <c r="C20" s="151" t="s">
        <v>51</v>
      </c>
      <c r="D20" s="151" t="s">
        <v>38</v>
      </c>
      <c r="E20" s="151" t="s">
        <v>36</v>
      </c>
      <c r="F20" s="151" t="s">
        <v>34</v>
      </c>
      <c r="G20" s="151" t="s">
        <v>31</v>
      </c>
      <c r="H20" s="151" t="s">
        <v>26</v>
      </c>
      <c r="I20" s="151" t="s">
        <v>0</v>
      </c>
      <c r="J20" s="151" t="s">
        <v>86</v>
      </c>
      <c r="K20" s="151" t="s">
        <v>85</v>
      </c>
      <c r="L20" s="237" t="s">
        <v>1</v>
      </c>
      <c r="M20" s="237"/>
    </row>
    <row r="21" spans="1:30" ht="24.75" customHeight="1" x14ac:dyDescent="0.25">
      <c r="A21" s="58">
        <v>58428</v>
      </c>
      <c r="B21" s="58">
        <v>58212</v>
      </c>
      <c r="C21" s="58">
        <v>55180</v>
      </c>
      <c r="D21" s="58">
        <v>45642</v>
      </c>
      <c r="E21" s="58">
        <v>53509</v>
      </c>
      <c r="F21" s="58">
        <v>56760</v>
      </c>
      <c r="G21" s="58">
        <v>55031</v>
      </c>
      <c r="H21" s="58">
        <v>44962</v>
      </c>
      <c r="I21" s="58">
        <v>57756</v>
      </c>
      <c r="J21" s="58">
        <v>56563</v>
      </c>
      <c r="K21" s="58">
        <v>51788</v>
      </c>
      <c r="L21" s="150" t="s">
        <v>98</v>
      </c>
      <c r="M21" s="235" t="s">
        <v>2</v>
      </c>
    </row>
    <row r="22" spans="1:30" ht="24" customHeight="1" x14ac:dyDescent="0.25">
      <c r="A22" s="9">
        <v>22000</v>
      </c>
      <c r="B22" s="9">
        <v>21400</v>
      </c>
      <c r="C22" s="9">
        <v>21700</v>
      </c>
      <c r="D22" s="9">
        <v>14700</v>
      </c>
      <c r="E22" s="9">
        <v>22400</v>
      </c>
      <c r="F22" s="9">
        <v>22250</v>
      </c>
      <c r="G22" s="9">
        <v>19950</v>
      </c>
      <c r="H22" s="9">
        <v>11375</v>
      </c>
      <c r="I22" s="9">
        <v>12600</v>
      </c>
      <c r="J22" s="9">
        <v>21555</v>
      </c>
      <c r="K22" s="9">
        <v>25300</v>
      </c>
      <c r="L22" s="27" t="s">
        <v>99</v>
      </c>
      <c r="M22" s="235"/>
    </row>
    <row r="23" spans="1:30" ht="26.1" customHeight="1" x14ac:dyDescent="0.25">
      <c r="A23" s="10">
        <v>74550</v>
      </c>
      <c r="B23" s="10">
        <v>72800</v>
      </c>
      <c r="C23" s="10">
        <v>74025</v>
      </c>
      <c r="D23" s="10">
        <v>74900</v>
      </c>
      <c r="E23" s="10">
        <v>79800</v>
      </c>
      <c r="F23" s="10">
        <v>79300</v>
      </c>
      <c r="G23" s="10">
        <v>77000</v>
      </c>
      <c r="H23" s="10">
        <v>67550</v>
      </c>
      <c r="I23" s="10">
        <v>81550</v>
      </c>
      <c r="J23" s="10">
        <v>76905</v>
      </c>
      <c r="K23" s="10">
        <v>76450</v>
      </c>
      <c r="L23" s="28" t="s">
        <v>100</v>
      </c>
      <c r="M23" s="235"/>
    </row>
    <row r="24" spans="1:30" ht="22.5" customHeight="1" x14ac:dyDescent="0.25">
      <c r="A24" s="9">
        <v>20</v>
      </c>
      <c r="B24" s="9">
        <v>47</v>
      </c>
      <c r="C24" s="9">
        <v>20</v>
      </c>
      <c r="D24" s="9">
        <v>24</v>
      </c>
      <c r="E24" s="9">
        <v>22</v>
      </c>
      <c r="F24" s="9">
        <v>74</v>
      </c>
      <c r="G24" s="9">
        <v>120</v>
      </c>
      <c r="H24" s="9">
        <v>60</v>
      </c>
      <c r="I24" s="9">
        <v>110</v>
      </c>
      <c r="J24" s="9">
        <v>55</v>
      </c>
      <c r="K24" s="9">
        <v>39</v>
      </c>
      <c r="L24" s="27" t="s">
        <v>101</v>
      </c>
      <c r="M24" s="235"/>
    </row>
    <row r="25" spans="1:30" ht="26.1" customHeight="1" x14ac:dyDescent="0.25">
      <c r="A25" s="17">
        <v>8.3000000000000001E-3</v>
      </c>
      <c r="B25" s="17">
        <v>1.6199999999999999E-2</v>
      </c>
      <c r="C25" s="17">
        <v>7.1999999999999998E-3</v>
      </c>
      <c r="D25" s="17">
        <v>1.29E-2</v>
      </c>
      <c r="E25" s="17">
        <v>8.8999999999999999E-3</v>
      </c>
      <c r="F25" s="17">
        <v>3.4700000000000002E-2</v>
      </c>
      <c r="G25" s="16">
        <v>4.8599999999999997E-2</v>
      </c>
      <c r="H25" s="17">
        <v>2.9899999999999999E-2</v>
      </c>
      <c r="I25" s="17">
        <v>3.9699999999999999E-2</v>
      </c>
      <c r="J25" s="17">
        <v>2.0799999999999999E-2</v>
      </c>
      <c r="K25" s="17">
        <v>3.3000000000000002E-2</v>
      </c>
      <c r="L25" s="8" t="s">
        <v>5</v>
      </c>
      <c r="M25" s="235"/>
    </row>
    <row r="26" spans="1:30" ht="26.1" customHeight="1" x14ac:dyDescent="0.25">
      <c r="A26" s="34">
        <v>19500</v>
      </c>
      <c r="B26" s="34">
        <v>21000</v>
      </c>
      <c r="C26" s="34">
        <v>21500</v>
      </c>
      <c r="D26" s="34">
        <v>17500</v>
      </c>
      <c r="E26" s="34">
        <v>19200</v>
      </c>
      <c r="F26" s="34">
        <v>22300</v>
      </c>
      <c r="G26" s="34">
        <v>20300</v>
      </c>
      <c r="H26" s="34">
        <v>19500</v>
      </c>
      <c r="I26" s="34">
        <v>22000</v>
      </c>
      <c r="J26" s="34">
        <v>20550</v>
      </c>
      <c r="K26" s="34">
        <v>17800</v>
      </c>
      <c r="L26" s="35" t="s">
        <v>102</v>
      </c>
      <c r="M26" s="235"/>
    </row>
    <row r="27" spans="1:30" ht="26.1" customHeight="1" x14ac:dyDescent="0.25">
      <c r="A27" s="36">
        <v>10.119999999999999</v>
      </c>
      <c r="B27" s="36">
        <v>9.25</v>
      </c>
      <c r="C27" s="36">
        <v>7.69</v>
      </c>
      <c r="D27" s="36">
        <v>8</v>
      </c>
      <c r="E27" s="36">
        <v>7.4</v>
      </c>
      <c r="F27" s="36">
        <v>9.6</v>
      </c>
      <c r="G27" s="36">
        <v>9</v>
      </c>
      <c r="H27" s="36">
        <v>9.8000000000000007</v>
      </c>
      <c r="I27" s="36">
        <v>10.23</v>
      </c>
      <c r="J27" s="36">
        <v>10.25</v>
      </c>
      <c r="K27" s="36">
        <v>10</v>
      </c>
      <c r="L27" s="147" t="s">
        <v>103</v>
      </c>
      <c r="M27" s="235"/>
    </row>
    <row r="28" spans="1:30" ht="26.1" customHeight="1" x14ac:dyDescent="0.25">
      <c r="A28" s="44">
        <v>27862</v>
      </c>
      <c r="B28" s="44">
        <v>30250</v>
      </c>
      <c r="C28" s="44">
        <v>28828</v>
      </c>
      <c r="D28" s="44">
        <v>20133</v>
      </c>
      <c r="E28" s="44">
        <v>29188</v>
      </c>
      <c r="F28" s="44">
        <v>44094</v>
      </c>
      <c r="G28" s="44">
        <v>40329</v>
      </c>
      <c r="H28" s="44">
        <v>26205</v>
      </c>
      <c r="I28" s="44">
        <v>34075</v>
      </c>
      <c r="J28" s="44">
        <v>30123</v>
      </c>
      <c r="K28" s="44">
        <v>13756</v>
      </c>
      <c r="L28" s="148" t="s">
        <v>104</v>
      </c>
      <c r="M28" s="233" t="s">
        <v>6</v>
      </c>
    </row>
    <row r="29" spans="1:30" ht="26.1" customHeight="1" x14ac:dyDescent="0.25">
      <c r="A29" s="41">
        <v>11.36</v>
      </c>
      <c r="B29" s="41">
        <v>10.43</v>
      </c>
      <c r="C29" s="41">
        <v>10.48</v>
      </c>
      <c r="D29" s="41">
        <v>10.82</v>
      </c>
      <c r="E29" s="41">
        <v>11.76</v>
      </c>
      <c r="F29" s="42">
        <v>17.29</v>
      </c>
      <c r="G29" s="43">
        <v>15.553000000000001</v>
      </c>
      <c r="H29" s="43">
        <v>13.044</v>
      </c>
      <c r="I29" s="43">
        <v>12.292999999999999</v>
      </c>
      <c r="J29" s="43">
        <v>11.34</v>
      </c>
      <c r="K29" s="43">
        <v>11.15</v>
      </c>
      <c r="L29" s="149" t="s">
        <v>105</v>
      </c>
      <c r="M29" s="234"/>
      <c r="X29" s="210"/>
      <c r="Y29" s="210"/>
      <c r="Z29" s="210"/>
      <c r="AA29" s="210"/>
      <c r="AB29" s="210"/>
      <c r="AC29" s="210"/>
      <c r="AD29" s="210"/>
    </row>
    <row r="30" spans="1:30" ht="26.1" customHeight="1" x14ac:dyDescent="0.25">
      <c r="A30" s="9">
        <v>1887</v>
      </c>
      <c r="B30" s="9">
        <v>657</v>
      </c>
      <c r="C30" s="9">
        <v>2365</v>
      </c>
      <c r="D30" s="9">
        <v>1545</v>
      </c>
      <c r="E30" s="9">
        <v>1865</v>
      </c>
      <c r="F30" s="9">
        <v>2342</v>
      </c>
      <c r="G30" s="9">
        <v>2013</v>
      </c>
      <c r="H30" s="9">
        <v>1480</v>
      </c>
      <c r="I30" s="9">
        <v>538</v>
      </c>
      <c r="J30" s="9">
        <v>836</v>
      </c>
      <c r="K30" s="9">
        <v>400</v>
      </c>
      <c r="L30" s="27" t="s">
        <v>106</v>
      </c>
      <c r="M30" s="234"/>
      <c r="X30" s="159"/>
      <c r="Y30" s="159"/>
      <c r="Z30" s="159"/>
      <c r="AA30" s="159"/>
      <c r="AB30" s="205"/>
      <c r="AC30" s="205"/>
      <c r="AD30" s="205"/>
    </row>
    <row r="31" spans="1:30" ht="26.1" customHeight="1" x14ac:dyDescent="0.25">
      <c r="A31" s="22">
        <v>0.74</v>
      </c>
      <c r="B31" s="22">
        <v>0.36</v>
      </c>
      <c r="C31" s="22">
        <v>0.86</v>
      </c>
      <c r="D31" s="22">
        <v>0.83</v>
      </c>
      <c r="E31" s="22">
        <v>0.76</v>
      </c>
      <c r="F31" s="24">
        <v>0.59</v>
      </c>
      <c r="G31" s="18">
        <v>0.77600000000000002</v>
      </c>
      <c r="H31" s="18">
        <v>0.73699999999999999</v>
      </c>
      <c r="I31" s="18">
        <v>0.19400000000000001</v>
      </c>
      <c r="J31" s="18">
        <v>0.316</v>
      </c>
      <c r="K31" s="18">
        <v>0.32400000000000001</v>
      </c>
      <c r="L31" s="28" t="s">
        <v>107</v>
      </c>
      <c r="M31" s="234"/>
      <c r="X31" s="159"/>
      <c r="Y31" s="159"/>
      <c r="Z31" s="159"/>
      <c r="AA31" s="159"/>
      <c r="AB31" s="205"/>
      <c r="AC31" s="205"/>
      <c r="AD31" s="205"/>
    </row>
    <row r="32" spans="1:30" ht="26.1" customHeight="1" x14ac:dyDescent="0.25">
      <c r="A32" s="9">
        <v>1076</v>
      </c>
      <c r="B32" s="9">
        <v>4463</v>
      </c>
      <c r="C32" s="9">
        <v>2913</v>
      </c>
      <c r="D32" s="9">
        <v>1901</v>
      </c>
      <c r="E32" s="9">
        <v>2915</v>
      </c>
      <c r="F32" s="9">
        <v>1889</v>
      </c>
      <c r="G32" s="9">
        <v>1978</v>
      </c>
      <c r="H32" s="9">
        <v>1450</v>
      </c>
      <c r="I32" s="9">
        <v>1801</v>
      </c>
      <c r="J32" s="9">
        <v>0</v>
      </c>
      <c r="K32" s="9">
        <v>0</v>
      </c>
      <c r="L32" s="27" t="s">
        <v>108</v>
      </c>
      <c r="M32" s="234"/>
      <c r="X32" s="159"/>
      <c r="Y32" s="159"/>
      <c r="Z32" s="159"/>
      <c r="AA32" s="159"/>
      <c r="AB32" s="205"/>
      <c r="AC32" s="205"/>
      <c r="AD32" s="205"/>
    </row>
    <row r="33" spans="1:40" ht="26.1" customHeight="1" x14ac:dyDescent="0.25">
      <c r="A33" s="22">
        <v>0.37</v>
      </c>
      <c r="B33" s="22">
        <v>1.56</v>
      </c>
      <c r="C33" s="22">
        <v>1.06</v>
      </c>
      <c r="D33" s="22">
        <v>1.02</v>
      </c>
      <c r="E33" s="22">
        <v>1.18</v>
      </c>
      <c r="F33" s="24">
        <v>0.58699999999999997</v>
      </c>
      <c r="G33" s="18">
        <v>0.76500000000000001</v>
      </c>
      <c r="H33" s="18">
        <v>0.72199999999999998</v>
      </c>
      <c r="I33" s="18">
        <v>0.65</v>
      </c>
      <c r="J33" s="18">
        <v>0</v>
      </c>
      <c r="K33" s="18">
        <v>0</v>
      </c>
      <c r="L33" s="28" t="s">
        <v>109</v>
      </c>
      <c r="M33" s="234"/>
      <c r="X33" s="159"/>
      <c r="Y33" s="159"/>
      <c r="Z33" s="159"/>
      <c r="AA33" s="159"/>
      <c r="AB33" s="205"/>
      <c r="AC33" s="205"/>
      <c r="AD33" s="205"/>
    </row>
    <row r="34" spans="1:40" ht="26.1" customHeight="1" x14ac:dyDescent="0.25">
      <c r="A34" s="9">
        <v>1120</v>
      </c>
      <c r="B34" s="9">
        <v>1305</v>
      </c>
      <c r="C34" s="9">
        <v>1255</v>
      </c>
      <c r="D34" s="9">
        <v>830</v>
      </c>
      <c r="E34" s="9">
        <v>1122</v>
      </c>
      <c r="F34" s="9">
        <v>1542</v>
      </c>
      <c r="G34" s="9">
        <v>1146</v>
      </c>
      <c r="H34" s="9">
        <v>881</v>
      </c>
      <c r="I34" s="9">
        <v>1247</v>
      </c>
      <c r="J34" s="9">
        <v>1201</v>
      </c>
      <c r="K34" s="9">
        <v>539</v>
      </c>
      <c r="L34" s="6" t="s">
        <v>29</v>
      </c>
      <c r="M34" s="235" t="s">
        <v>7</v>
      </c>
    </row>
    <row r="35" spans="1:40" ht="26.1" customHeight="1" x14ac:dyDescent="0.25">
      <c r="A35" s="17">
        <v>0.9113</v>
      </c>
      <c r="B35" s="17">
        <v>0.88959999999999995</v>
      </c>
      <c r="C35" s="17">
        <v>0.90210000000000001</v>
      </c>
      <c r="D35" s="17">
        <v>0.90710000000000002</v>
      </c>
      <c r="E35" s="17">
        <v>0.93340000000000001</v>
      </c>
      <c r="F35" s="17">
        <v>0.92869999999999997</v>
      </c>
      <c r="G35" s="17">
        <v>0.92869999999999997</v>
      </c>
      <c r="H35" s="17">
        <v>0.89439999999999997</v>
      </c>
      <c r="I35" s="17">
        <v>0.88029999999999997</v>
      </c>
      <c r="J35" s="17">
        <v>0.89680000000000004</v>
      </c>
      <c r="K35" s="17">
        <v>0.88180000000000003</v>
      </c>
      <c r="L35" s="8" t="s">
        <v>9</v>
      </c>
      <c r="M35" s="235"/>
    </row>
    <row r="36" spans="1:40" ht="26.1" customHeight="1" x14ac:dyDescent="0.25">
      <c r="A36" s="9">
        <v>108</v>
      </c>
      <c r="B36" s="9">
        <v>162</v>
      </c>
      <c r="C36" s="9">
        <v>135</v>
      </c>
      <c r="D36" s="9">
        <v>85</v>
      </c>
      <c r="E36" s="9">
        <v>80</v>
      </c>
      <c r="F36" s="9">
        <v>111</v>
      </c>
      <c r="G36" s="19">
        <v>88</v>
      </c>
      <c r="H36" s="11">
        <v>104</v>
      </c>
      <c r="I36" s="11">
        <v>142</v>
      </c>
      <c r="J36" s="11">
        <v>138</v>
      </c>
      <c r="K36" s="11">
        <v>71</v>
      </c>
      <c r="L36" s="6" t="s">
        <v>28</v>
      </c>
      <c r="M36" s="235"/>
    </row>
    <row r="37" spans="1:40" ht="26.1" customHeight="1" x14ac:dyDescent="0.25">
      <c r="A37" s="17">
        <v>8.7800000000000003E-2</v>
      </c>
      <c r="B37" s="17">
        <v>0.1104</v>
      </c>
      <c r="C37" s="17">
        <v>9.7900000000000001E-2</v>
      </c>
      <c r="D37" s="17">
        <v>9.2899999999999996E-2</v>
      </c>
      <c r="E37" s="17">
        <v>6.6600000000000006E-2</v>
      </c>
      <c r="F37" s="17">
        <v>9.1300000000000006E-2</v>
      </c>
      <c r="G37" s="17">
        <v>7.1300000000000002E-2</v>
      </c>
      <c r="H37" s="17">
        <v>0.1056</v>
      </c>
      <c r="I37" s="17">
        <v>0.11700000000000001</v>
      </c>
      <c r="J37" s="17">
        <v>0.1032</v>
      </c>
      <c r="K37" s="17">
        <v>0.1182</v>
      </c>
      <c r="L37" s="8" t="s">
        <v>10</v>
      </c>
      <c r="M37" s="235"/>
      <c r="Y37" s="205"/>
      <c r="Z37" s="205"/>
      <c r="AA37" s="205"/>
      <c r="AB37" s="205"/>
      <c r="AC37" s="205"/>
      <c r="AD37" s="205"/>
    </row>
    <row r="38" spans="1:40" ht="26.1" customHeight="1" x14ac:dyDescent="0.25">
      <c r="A38" s="23">
        <v>0.57638888888888895</v>
      </c>
      <c r="B38" s="23">
        <v>0.71666666666666667</v>
      </c>
      <c r="C38" s="23">
        <v>1.0333333333333334</v>
      </c>
      <c r="D38" s="23">
        <v>0.41388888888888892</v>
      </c>
      <c r="E38" s="23">
        <v>0.19097222222222221</v>
      </c>
      <c r="F38" s="23">
        <v>0.54722222222222217</v>
      </c>
      <c r="G38" s="14">
        <v>0.72569444444444453</v>
      </c>
      <c r="H38" s="14">
        <v>0.92222222222222217</v>
      </c>
      <c r="I38" s="20">
        <v>1.5090277777777779</v>
      </c>
      <c r="J38" s="14">
        <v>0.2986111111111111</v>
      </c>
      <c r="K38" s="20">
        <v>0</v>
      </c>
      <c r="L38" s="27" t="s">
        <v>113</v>
      </c>
      <c r="M38" s="235" t="s">
        <v>8</v>
      </c>
      <c r="Y38" s="159"/>
      <c r="Z38" s="159"/>
      <c r="AA38" s="159"/>
      <c r="AB38" s="159"/>
      <c r="AC38" s="205"/>
      <c r="AD38" s="205"/>
    </row>
    <row r="39" spans="1:40" ht="21.75" customHeight="1" x14ac:dyDescent="0.25">
      <c r="A39" s="15">
        <v>0.22777777777777777</v>
      </c>
      <c r="B39" s="15">
        <v>0.3833333333333333</v>
      </c>
      <c r="C39" s="15">
        <v>0.81944444444444453</v>
      </c>
      <c r="D39" s="15">
        <v>0.6645833333333333</v>
      </c>
      <c r="E39" s="15">
        <v>0.52638888888888891</v>
      </c>
      <c r="F39" s="15">
        <v>1.2979166666666666</v>
      </c>
      <c r="G39" s="21">
        <v>0.34097222222222223</v>
      </c>
      <c r="H39" s="21">
        <v>0.35486111111111113</v>
      </c>
      <c r="I39" s="21">
        <v>0.82152777777777775</v>
      </c>
      <c r="J39" s="21">
        <v>0.12152777777777778</v>
      </c>
      <c r="K39" s="21">
        <v>0.10416666666666667</v>
      </c>
      <c r="L39" s="28" t="s">
        <v>112</v>
      </c>
      <c r="M39" s="235"/>
      <c r="Y39" s="159"/>
      <c r="Z39" s="159"/>
      <c r="AA39" s="159"/>
      <c r="AB39" s="159"/>
      <c r="AC39" s="205"/>
      <c r="AD39" s="205"/>
    </row>
    <row r="40" spans="1:40" ht="22.5" customHeight="1" x14ac:dyDescent="0.25">
      <c r="A40" s="23">
        <v>0.20138888888888887</v>
      </c>
      <c r="B40" s="23">
        <v>0.27430555555555552</v>
      </c>
      <c r="C40" s="23">
        <v>0.80555555555555547</v>
      </c>
      <c r="D40" s="23">
        <v>0.89930555555555547</v>
      </c>
      <c r="E40" s="23">
        <v>0.37916666666666665</v>
      </c>
      <c r="F40" s="23">
        <v>0</v>
      </c>
      <c r="G40" s="14">
        <v>0</v>
      </c>
      <c r="H40" s="14">
        <v>0</v>
      </c>
      <c r="I40" s="14">
        <v>0</v>
      </c>
      <c r="J40" s="14">
        <v>0.26041666666666669</v>
      </c>
      <c r="K40" s="14">
        <v>0.15972222222222224</v>
      </c>
      <c r="L40" s="27" t="s">
        <v>111</v>
      </c>
      <c r="M40" s="235"/>
      <c r="Y40" s="159"/>
      <c r="Z40" s="159"/>
      <c r="AA40" s="159"/>
      <c r="AB40" s="159"/>
      <c r="AC40" s="205"/>
      <c r="AD40" s="205"/>
    </row>
    <row r="41" spans="1:40" ht="21" customHeight="1" x14ac:dyDescent="0.25">
      <c r="A41" s="15">
        <f>SUM(A38:A39)</f>
        <v>0.8041666666666667</v>
      </c>
      <c r="B41" s="15">
        <v>1.0999999999999999</v>
      </c>
      <c r="C41" s="15">
        <f>SUM(C38:C39)</f>
        <v>1.8527777777777779</v>
      </c>
      <c r="D41" s="15">
        <f>SUM(D38:D39)</f>
        <v>1.0784722222222223</v>
      </c>
      <c r="E41" s="15">
        <f>SUM(E38:E39)</f>
        <v>0.71736111111111112</v>
      </c>
      <c r="F41" s="15">
        <f>SUM(F38:F39)</f>
        <v>1.8451388888888887</v>
      </c>
      <c r="G41" s="26">
        <v>1.0666666666666667</v>
      </c>
      <c r="H41" s="26">
        <v>1.6312499999999999</v>
      </c>
      <c r="I41" s="26">
        <v>2.3333333333333335</v>
      </c>
      <c r="J41" s="26">
        <v>0.4201388888888889</v>
      </c>
      <c r="K41" s="26">
        <v>0.10416666666666667</v>
      </c>
      <c r="L41" s="28" t="s">
        <v>110</v>
      </c>
      <c r="M41" s="235"/>
      <c r="Y41" s="159"/>
      <c r="Z41" s="159"/>
      <c r="AA41" s="159"/>
      <c r="AB41" s="159"/>
      <c r="AC41" s="205"/>
      <c r="AD41" s="205"/>
    </row>
    <row r="42" spans="1:40" ht="25.5" customHeight="1" x14ac:dyDescent="0.25">
      <c r="A42" s="29"/>
      <c r="B42" s="29"/>
      <c r="C42" s="29"/>
      <c r="D42" s="29"/>
      <c r="E42" s="29"/>
      <c r="F42" s="29"/>
      <c r="G42" s="30"/>
      <c r="H42" s="30"/>
      <c r="I42" s="30"/>
      <c r="J42" s="30"/>
      <c r="K42" s="30"/>
      <c r="L42" s="31"/>
      <c r="M42" s="57"/>
      <c r="Y42" s="159"/>
      <c r="Z42" s="159"/>
      <c r="AA42" s="159"/>
      <c r="AB42" s="159"/>
      <c r="AC42" s="205"/>
      <c r="AD42" s="205"/>
    </row>
    <row r="43" spans="1:40" ht="26.1" customHeight="1" x14ac:dyDescent="0.25">
      <c r="O43" s="219" t="s">
        <v>48</v>
      </c>
      <c r="P43" s="219"/>
      <c r="Q43" s="219"/>
      <c r="R43" s="219"/>
      <c r="S43" s="219"/>
      <c r="T43" s="219"/>
      <c r="U43" s="219"/>
      <c r="V43" s="219"/>
      <c r="W43" s="219"/>
      <c r="X43" s="219"/>
      <c r="Y43" s="159"/>
      <c r="Z43" s="159"/>
      <c r="AA43" s="159"/>
      <c r="AB43" s="159"/>
      <c r="AC43" s="205"/>
      <c r="AD43" s="205"/>
    </row>
    <row r="44" spans="1:40" ht="26.1" customHeight="1" x14ac:dyDescent="0.25">
      <c r="O44" s="45" t="s">
        <v>84</v>
      </c>
      <c r="P44" s="45" t="s">
        <v>83</v>
      </c>
      <c r="Q44" s="45" t="s">
        <v>51</v>
      </c>
      <c r="R44" s="45" t="s">
        <v>38</v>
      </c>
      <c r="S44" s="45" t="s">
        <v>36</v>
      </c>
      <c r="T44" s="45" t="s">
        <v>34</v>
      </c>
      <c r="U44" s="45" t="s">
        <v>31</v>
      </c>
      <c r="V44" s="45" t="s">
        <v>26</v>
      </c>
      <c r="W44" s="45" t="s">
        <v>0</v>
      </c>
      <c r="X44" s="170"/>
      <c r="Y44" s="115" t="s">
        <v>115</v>
      </c>
      <c r="AF44" s="177"/>
      <c r="AG44" s="177"/>
      <c r="AH44" s="177"/>
      <c r="AI44" s="177"/>
      <c r="AJ44" s="177"/>
      <c r="AK44" s="177"/>
      <c r="AL44" s="177"/>
      <c r="AM44" s="218"/>
      <c r="AN44" s="218"/>
    </row>
    <row r="45" spans="1:40" ht="26.1" customHeight="1" x14ac:dyDescent="0.25">
      <c r="O45" s="46">
        <v>2426000</v>
      </c>
      <c r="P45" s="46">
        <v>2780610</v>
      </c>
      <c r="Q45" s="46">
        <v>2676965</v>
      </c>
      <c r="R45" s="46">
        <v>1902500</v>
      </c>
      <c r="S45" s="46">
        <v>2528000</v>
      </c>
      <c r="T45" s="46">
        <v>3293000</v>
      </c>
      <c r="U45" s="46">
        <v>2466000</v>
      </c>
      <c r="V45" s="46">
        <v>1973000</v>
      </c>
      <c r="W45" s="46">
        <v>2707000</v>
      </c>
      <c r="X45" s="113" t="s">
        <v>73</v>
      </c>
      <c r="AF45" s="73"/>
      <c r="AG45" s="73"/>
      <c r="AH45" s="73"/>
      <c r="AI45" s="73"/>
      <c r="AJ45" s="73"/>
      <c r="AK45" s="73"/>
      <c r="AL45" s="73"/>
      <c r="AM45" s="209"/>
      <c r="AN45" s="209"/>
    </row>
    <row r="46" spans="1:40" ht="26.1" customHeight="1" x14ac:dyDescent="0.25">
      <c r="O46" s="47">
        <v>2453975</v>
      </c>
      <c r="P46" s="171">
        <v>2904775</v>
      </c>
      <c r="Q46" s="47">
        <v>2768250</v>
      </c>
      <c r="R46" s="47">
        <v>1861325</v>
      </c>
      <c r="S46" s="47">
        <v>2466850</v>
      </c>
      <c r="T46" s="47">
        <v>3409600</v>
      </c>
      <c r="U46" s="47">
        <v>2593775</v>
      </c>
      <c r="V46" s="47">
        <v>2009225</v>
      </c>
      <c r="W46" s="47">
        <v>2772275</v>
      </c>
      <c r="X46" s="113" t="s">
        <v>72</v>
      </c>
      <c r="AF46" s="74"/>
      <c r="AG46" s="74"/>
      <c r="AH46" s="74"/>
      <c r="AI46" s="74"/>
      <c r="AJ46" s="74"/>
      <c r="AK46" s="74"/>
      <c r="AL46" s="75"/>
      <c r="AM46" s="209"/>
      <c r="AN46" s="209"/>
    </row>
    <row r="47" spans="1:40" ht="26.1" customHeight="1" x14ac:dyDescent="0.25">
      <c r="O47" s="173">
        <v>989</v>
      </c>
      <c r="P47" s="172">
        <v>957</v>
      </c>
      <c r="Q47" s="173">
        <v>966</v>
      </c>
      <c r="R47" s="173">
        <v>1022</v>
      </c>
      <c r="S47" s="173">
        <v>1025</v>
      </c>
      <c r="T47" s="173">
        <v>965</v>
      </c>
      <c r="U47" s="173">
        <v>951</v>
      </c>
      <c r="V47" s="173">
        <v>980</v>
      </c>
      <c r="W47" s="173">
        <v>976</v>
      </c>
      <c r="X47" s="113" t="s">
        <v>71</v>
      </c>
      <c r="AF47" s="73"/>
      <c r="AG47" s="73"/>
      <c r="AH47" s="73"/>
      <c r="AI47" s="73"/>
      <c r="AJ47" s="76"/>
      <c r="AK47" s="77"/>
      <c r="AL47" s="77"/>
      <c r="AM47" s="209"/>
      <c r="AN47" s="209"/>
    </row>
    <row r="48" spans="1:40" ht="26.1" customHeight="1" x14ac:dyDescent="0.25">
      <c r="AF48" s="74"/>
      <c r="AG48" s="74"/>
      <c r="AH48" s="74"/>
      <c r="AI48" s="74"/>
      <c r="AJ48" s="74"/>
      <c r="AK48" s="74"/>
      <c r="AL48" s="75"/>
      <c r="AM48" s="209"/>
      <c r="AN48" s="209"/>
    </row>
    <row r="49" spans="1:40" ht="26.1" customHeight="1" x14ac:dyDescent="0.25"/>
    <row r="50" spans="1:40" ht="26.1" customHeight="1" x14ac:dyDescent="0.25">
      <c r="AF50" s="228"/>
      <c r="AG50" s="228"/>
      <c r="AH50" s="228"/>
      <c r="AI50" s="228"/>
      <c r="AJ50" s="228"/>
      <c r="AK50" s="228"/>
      <c r="AL50" s="228"/>
      <c r="AM50" s="228"/>
      <c r="AN50" s="228"/>
    </row>
    <row r="51" spans="1:40" ht="26.1" customHeight="1" x14ac:dyDescent="0.25">
      <c r="AF51" s="167"/>
      <c r="AG51" s="177"/>
      <c r="AH51" s="177"/>
      <c r="AI51" s="177"/>
      <c r="AJ51" s="177"/>
      <c r="AK51" s="177"/>
      <c r="AL51" s="177"/>
      <c r="AM51" s="209"/>
      <c r="AN51" s="209"/>
    </row>
    <row r="52" spans="1:40" ht="26.1" customHeight="1" x14ac:dyDescent="0.25">
      <c r="AF52" s="167"/>
      <c r="AG52" s="73"/>
      <c r="AH52" s="73"/>
      <c r="AI52" s="73"/>
      <c r="AJ52" s="77"/>
      <c r="AK52" s="77"/>
      <c r="AL52" s="77"/>
      <c r="AM52" s="226"/>
      <c r="AN52" s="226"/>
    </row>
    <row r="53" spans="1:40" ht="26.1" customHeight="1" x14ac:dyDescent="0.25">
      <c r="AF53" s="167"/>
      <c r="AG53" s="73"/>
      <c r="AH53" s="73"/>
      <c r="AI53" s="73"/>
      <c r="AJ53" s="73"/>
      <c r="AK53" s="73"/>
      <c r="AL53" s="73"/>
      <c r="AM53" s="227"/>
      <c r="AN53" s="227"/>
    </row>
    <row r="54" spans="1:40" ht="26.1" customHeight="1" x14ac:dyDescent="0.25">
      <c r="AF54" s="178"/>
      <c r="AG54" s="178"/>
      <c r="AH54" s="178"/>
      <c r="AI54" s="178"/>
      <c r="AJ54" s="178"/>
      <c r="AK54" s="178"/>
      <c r="AL54" s="178"/>
      <c r="AM54" s="227"/>
      <c r="AN54" s="227"/>
    </row>
    <row r="55" spans="1:40" ht="18.75" customHeight="1" x14ac:dyDescent="0.25"/>
    <row r="56" spans="1:40" ht="3.75" customHeight="1" x14ac:dyDescent="0.25"/>
    <row r="57" spans="1:40" ht="36" customHeight="1" x14ac:dyDescent="0.25">
      <c r="A57" s="61" t="s">
        <v>84</v>
      </c>
      <c r="B57" s="61" t="s">
        <v>83</v>
      </c>
      <c r="C57" s="61" t="s">
        <v>51</v>
      </c>
      <c r="D57" s="61" t="s">
        <v>38</v>
      </c>
      <c r="E57" s="61" t="s">
        <v>36</v>
      </c>
      <c r="F57" s="61" t="s">
        <v>34</v>
      </c>
      <c r="G57" s="61" t="s">
        <v>31</v>
      </c>
      <c r="H57" s="61" t="s">
        <v>26</v>
      </c>
      <c r="I57" s="61" t="s">
        <v>0</v>
      </c>
      <c r="J57" s="61" t="s">
        <v>86</v>
      </c>
      <c r="K57" s="61" t="s">
        <v>85</v>
      </c>
      <c r="L57" s="61" t="s">
        <v>1</v>
      </c>
      <c r="AA57" s="220" t="s">
        <v>49</v>
      </c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0"/>
    </row>
    <row r="58" spans="1:40" ht="26.1" customHeight="1" x14ac:dyDescent="0.25">
      <c r="A58" s="58">
        <v>2</v>
      </c>
      <c r="B58" s="58">
        <v>4</v>
      </c>
      <c r="C58" s="58">
        <v>3</v>
      </c>
      <c r="D58" s="58">
        <v>2</v>
      </c>
      <c r="E58" s="58">
        <v>4</v>
      </c>
      <c r="F58" s="58">
        <v>8</v>
      </c>
      <c r="G58" s="58">
        <v>5</v>
      </c>
      <c r="H58" s="58">
        <v>4</v>
      </c>
      <c r="I58" s="59">
        <v>4</v>
      </c>
      <c r="J58" s="59">
        <v>6</v>
      </c>
      <c r="K58" s="59">
        <v>1</v>
      </c>
      <c r="L58" s="60" t="s">
        <v>40</v>
      </c>
      <c r="AA58" s="180" t="s">
        <v>84</v>
      </c>
      <c r="AB58" s="51" t="s">
        <v>83</v>
      </c>
      <c r="AC58" s="180" t="s">
        <v>51</v>
      </c>
      <c r="AD58" s="51" t="s">
        <v>38</v>
      </c>
      <c r="AE58" s="51" t="s">
        <v>36</v>
      </c>
      <c r="AF58" s="51" t="s">
        <v>34</v>
      </c>
      <c r="AG58" s="51" t="s">
        <v>31</v>
      </c>
      <c r="AH58" s="51" t="s">
        <v>26</v>
      </c>
      <c r="AI58" s="51" t="s">
        <v>0</v>
      </c>
      <c r="AJ58" s="51" t="s">
        <v>86</v>
      </c>
      <c r="AK58" s="51" t="s">
        <v>85</v>
      </c>
      <c r="AL58" s="223"/>
      <c r="AM58" s="223"/>
    </row>
    <row r="59" spans="1:40" ht="26.1" customHeight="1" x14ac:dyDescent="0.25">
      <c r="A59" s="62">
        <v>0</v>
      </c>
      <c r="B59" s="62">
        <v>0</v>
      </c>
      <c r="C59" s="62" t="s">
        <v>70</v>
      </c>
      <c r="D59" s="62">
        <v>0</v>
      </c>
      <c r="E59" s="62">
        <v>2</v>
      </c>
      <c r="F59" s="62">
        <v>0</v>
      </c>
      <c r="G59" s="62">
        <v>4</v>
      </c>
      <c r="H59" s="62">
        <v>1</v>
      </c>
      <c r="I59" s="63">
        <v>2</v>
      </c>
      <c r="J59" s="63">
        <v>1</v>
      </c>
      <c r="K59" s="63">
        <v>2</v>
      </c>
      <c r="L59" s="122" t="s">
        <v>41</v>
      </c>
      <c r="AA59" s="112">
        <v>13</v>
      </c>
      <c r="AB59" s="48">
        <v>17</v>
      </c>
      <c r="AC59" s="112">
        <v>16</v>
      </c>
      <c r="AD59" s="48">
        <v>10</v>
      </c>
      <c r="AE59" s="48">
        <v>15</v>
      </c>
      <c r="AF59" s="48">
        <v>15</v>
      </c>
      <c r="AG59" s="49">
        <v>13</v>
      </c>
      <c r="AH59" s="49">
        <v>10</v>
      </c>
      <c r="AI59" s="49">
        <v>13</v>
      </c>
      <c r="AJ59" s="49">
        <v>12</v>
      </c>
      <c r="AK59" s="49">
        <v>7</v>
      </c>
      <c r="AL59" s="224" t="s">
        <v>43</v>
      </c>
      <c r="AM59" s="224"/>
    </row>
    <row r="60" spans="1:40" ht="26.1" customHeight="1" x14ac:dyDescent="0.25">
      <c r="A60" s="10">
        <v>109</v>
      </c>
      <c r="B60" s="10">
        <v>135</v>
      </c>
      <c r="C60" s="10">
        <v>123</v>
      </c>
      <c r="D60" s="10">
        <v>80</v>
      </c>
      <c r="E60" s="10">
        <v>111</v>
      </c>
      <c r="F60" s="10">
        <v>144</v>
      </c>
      <c r="G60" s="12">
        <v>117</v>
      </c>
      <c r="H60" s="12">
        <v>98</v>
      </c>
      <c r="I60" s="38">
        <v>133</v>
      </c>
      <c r="J60" s="38">
        <v>121</v>
      </c>
      <c r="K60" s="38">
        <v>54</v>
      </c>
      <c r="L60" s="37" t="s">
        <v>30</v>
      </c>
      <c r="AA60" s="48">
        <v>19500</v>
      </c>
      <c r="AB60" s="48">
        <v>21000</v>
      </c>
      <c r="AC60" s="112">
        <v>21500</v>
      </c>
      <c r="AD60" s="48">
        <v>17500</v>
      </c>
      <c r="AE60" s="48">
        <v>19200</v>
      </c>
      <c r="AF60" s="48">
        <v>22300</v>
      </c>
      <c r="AG60" s="48">
        <v>20300</v>
      </c>
      <c r="AH60" s="48">
        <v>19500</v>
      </c>
      <c r="AI60" s="48">
        <v>22000</v>
      </c>
      <c r="AJ60" s="48">
        <v>20550</v>
      </c>
      <c r="AK60" s="48">
        <v>17800</v>
      </c>
      <c r="AL60" s="225" t="s">
        <v>44</v>
      </c>
      <c r="AM60" s="225"/>
    </row>
    <row r="61" spans="1:40" ht="26.1" customHeight="1" x14ac:dyDescent="0.25">
      <c r="A61" s="62">
        <v>2</v>
      </c>
      <c r="B61" s="62">
        <v>8</v>
      </c>
      <c r="C61" s="62">
        <v>4</v>
      </c>
      <c r="D61" s="62">
        <v>5</v>
      </c>
      <c r="E61" s="62">
        <v>7</v>
      </c>
      <c r="F61" s="62">
        <v>10</v>
      </c>
      <c r="G61" s="65">
        <v>9</v>
      </c>
      <c r="H61" s="65">
        <v>12</v>
      </c>
      <c r="I61" s="66">
        <v>9</v>
      </c>
      <c r="J61" s="66">
        <v>7</v>
      </c>
      <c r="K61" s="66">
        <v>4</v>
      </c>
      <c r="L61" s="67" t="s">
        <v>32</v>
      </c>
      <c r="AA61" s="50">
        <v>10.119999999999999</v>
      </c>
      <c r="AB61" s="50">
        <v>9.25</v>
      </c>
      <c r="AC61" s="50">
        <v>7.69</v>
      </c>
      <c r="AD61" s="50">
        <v>8</v>
      </c>
      <c r="AE61" s="50">
        <v>7.4</v>
      </c>
      <c r="AF61" s="50">
        <v>9.6</v>
      </c>
      <c r="AG61" s="50">
        <v>9</v>
      </c>
      <c r="AH61" s="50">
        <v>9.8000000000000007</v>
      </c>
      <c r="AI61" s="50">
        <v>10.23</v>
      </c>
      <c r="AJ61" s="50">
        <v>10.25</v>
      </c>
      <c r="AK61" s="50">
        <v>10</v>
      </c>
      <c r="AL61" s="225" t="s">
        <v>45</v>
      </c>
      <c r="AM61" s="225"/>
    </row>
    <row r="62" spans="1:40" ht="26.1" customHeight="1" x14ac:dyDescent="0.25">
      <c r="A62" s="10">
        <v>107</v>
      </c>
      <c r="B62" s="10">
        <v>127</v>
      </c>
      <c r="C62" s="10">
        <v>119</v>
      </c>
      <c r="D62" s="10">
        <v>75</v>
      </c>
      <c r="E62" s="10">
        <v>104</v>
      </c>
      <c r="F62" s="10">
        <v>134</v>
      </c>
      <c r="G62" s="12">
        <v>108</v>
      </c>
      <c r="H62" s="12">
        <v>86</v>
      </c>
      <c r="I62" s="38">
        <v>124</v>
      </c>
      <c r="J62" s="38">
        <v>114</v>
      </c>
      <c r="K62" s="38">
        <v>50</v>
      </c>
      <c r="L62" s="37" t="s">
        <v>42</v>
      </c>
    </row>
    <row r="63" spans="1:40" ht="26.1" customHeight="1" x14ac:dyDescent="0.25">
      <c r="A63" s="62">
        <v>13</v>
      </c>
      <c r="B63" s="62">
        <v>17</v>
      </c>
      <c r="C63" s="62">
        <v>16</v>
      </c>
      <c r="D63" s="62">
        <v>10</v>
      </c>
      <c r="E63" s="62">
        <v>15</v>
      </c>
      <c r="F63" s="62">
        <v>15</v>
      </c>
      <c r="G63" s="65">
        <v>13</v>
      </c>
      <c r="H63" s="65">
        <v>10</v>
      </c>
      <c r="I63" s="66">
        <v>13</v>
      </c>
      <c r="J63" s="66">
        <v>12</v>
      </c>
      <c r="K63" s="66">
        <v>7</v>
      </c>
      <c r="L63" s="64" t="s">
        <v>43</v>
      </c>
    </row>
    <row r="64" spans="1:40" ht="26.1" customHeight="1" x14ac:dyDescent="0.25"/>
    <row r="65" spans="22:38" ht="26.1" customHeight="1" x14ac:dyDescent="0.25">
      <c r="Z65" s="168"/>
      <c r="AA65" s="168"/>
      <c r="AB65" s="168"/>
      <c r="AC65" s="168"/>
      <c r="AD65" s="168"/>
      <c r="AE65" s="168"/>
    </row>
    <row r="66" spans="22:38" ht="26.1" customHeight="1" x14ac:dyDescent="0.25">
      <c r="Z66" s="69" t="s">
        <v>84</v>
      </c>
      <c r="AA66" s="69" t="s">
        <v>83</v>
      </c>
      <c r="AB66" s="69" t="s">
        <v>51</v>
      </c>
      <c r="AC66" s="69" t="s">
        <v>38</v>
      </c>
      <c r="AD66" s="69" t="s">
        <v>36</v>
      </c>
      <c r="AE66" s="69" t="s">
        <v>34</v>
      </c>
      <c r="AF66" s="69" t="s">
        <v>31</v>
      </c>
      <c r="AG66" s="69" t="s">
        <v>26</v>
      </c>
      <c r="AH66" s="69" t="s">
        <v>0</v>
      </c>
      <c r="AI66" s="69" t="s">
        <v>86</v>
      </c>
      <c r="AJ66" s="69" t="s">
        <v>85</v>
      </c>
      <c r="AK66" s="229"/>
      <c r="AL66" s="229"/>
    </row>
    <row r="67" spans="22:38" ht="26.1" customHeight="1" x14ac:dyDescent="0.25">
      <c r="Z67" s="70">
        <v>1120</v>
      </c>
      <c r="AA67" s="70">
        <v>1305</v>
      </c>
      <c r="AB67" s="70">
        <v>1255</v>
      </c>
      <c r="AC67" s="70">
        <v>830</v>
      </c>
      <c r="AD67" s="70">
        <v>1122</v>
      </c>
      <c r="AE67" s="70">
        <v>1542</v>
      </c>
      <c r="AF67" s="70">
        <v>1146</v>
      </c>
      <c r="AG67" s="70">
        <v>881</v>
      </c>
      <c r="AH67" s="70">
        <v>1247</v>
      </c>
      <c r="AI67" s="179">
        <v>1201</v>
      </c>
      <c r="AJ67" s="179">
        <v>539</v>
      </c>
      <c r="AK67" s="230" t="s">
        <v>29</v>
      </c>
      <c r="AL67" s="230"/>
    </row>
    <row r="68" spans="22:38" ht="26.1" customHeight="1" x14ac:dyDescent="0.25">
      <c r="Z68" s="52">
        <v>0.91290000000000004</v>
      </c>
      <c r="AA68" s="52">
        <v>0.88959999999999995</v>
      </c>
      <c r="AB68" s="52">
        <v>0.90210000000000001</v>
      </c>
      <c r="AC68" s="52">
        <v>0.90710000000000002</v>
      </c>
      <c r="AD68" s="52">
        <v>0.93340000000000001</v>
      </c>
      <c r="AE68" s="52">
        <v>0.92869999999999997</v>
      </c>
      <c r="AF68" s="52">
        <v>0.92869999999999997</v>
      </c>
      <c r="AG68" s="52">
        <v>0.89439999999999997</v>
      </c>
      <c r="AH68" s="53">
        <v>0.88029999999999997</v>
      </c>
      <c r="AI68" s="17">
        <v>0.89680000000000004</v>
      </c>
      <c r="AJ68" s="17">
        <v>0.88180000000000003</v>
      </c>
      <c r="AK68" s="231" t="s">
        <v>9</v>
      </c>
      <c r="AL68" s="231"/>
    </row>
    <row r="69" spans="22:38" ht="26.1" customHeight="1" x14ac:dyDescent="0.25">
      <c r="X69" s="54"/>
      <c r="Z69" s="70">
        <v>108</v>
      </c>
      <c r="AA69" s="70">
        <v>162</v>
      </c>
      <c r="AB69" s="70">
        <v>135</v>
      </c>
      <c r="AC69" s="70">
        <v>85</v>
      </c>
      <c r="AD69" s="70">
        <v>80</v>
      </c>
      <c r="AE69" s="70">
        <v>111</v>
      </c>
      <c r="AF69" s="71">
        <v>88</v>
      </c>
      <c r="AG69" s="72">
        <v>104</v>
      </c>
      <c r="AH69" s="72">
        <v>142</v>
      </c>
      <c r="AI69" s="181">
        <v>138</v>
      </c>
      <c r="AJ69" s="181">
        <v>71</v>
      </c>
      <c r="AK69" s="230" t="s">
        <v>28</v>
      </c>
      <c r="AL69" s="230"/>
    </row>
    <row r="70" spans="22:38" ht="26.1" customHeight="1" x14ac:dyDescent="0.25">
      <c r="Z70" s="52">
        <v>8.7800000000000003E-2</v>
      </c>
      <c r="AA70" s="52">
        <v>0.1104</v>
      </c>
      <c r="AB70" s="52">
        <v>9.7900000000000001E-2</v>
      </c>
      <c r="AC70" s="52">
        <v>9.2899999999999996E-2</v>
      </c>
      <c r="AD70" s="52">
        <v>6.6600000000000006E-2</v>
      </c>
      <c r="AE70" s="52">
        <v>9.1300000000000006E-2</v>
      </c>
      <c r="AF70" s="52">
        <v>7.1300000000000002E-2</v>
      </c>
      <c r="AG70" s="52">
        <v>0.1056</v>
      </c>
      <c r="AH70" s="53">
        <v>0.11700000000000001</v>
      </c>
      <c r="AI70" s="17">
        <v>0.1032</v>
      </c>
      <c r="AJ70" s="17">
        <v>0.1182</v>
      </c>
      <c r="AK70" s="231" t="s">
        <v>10</v>
      </c>
      <c r="AL70" s="231"/>
    </row>
    <row r="71" spans="22:38" ht="26.1" customHeight="1" x14ac:dyDescent="0.25">
      <c r="X71" s="73"/>
      <c r="Y71" s="73"/>
      <c r="Z71" s="73"/>
      <c r="AA71" s="73"/>
      <c r="AB71" s="73"/>
      <c r="AC71" s="73"/>
      <c r="AD71" s="166"/>
      <c r="AE71" s="166"/>
    </row>
    <row r="72" spans="22:38" ht="26.1" customHeight="1" x14ac:dyDescent="0.25">
      <c r="X72" s="74"/>
      <c r="Y72" s="74"/>
      <c r="Z72" s="74"/>
      <c r="AA72" s="74"/>
      <c r="AB72" s="74"/>
      <c r="AC72" s="75"/>
      <c r="AD72" s="166"/>
      <c r="AE72" s="166"/>
    </row>
    <row r="73" spans="22:38" ht="39" customHeight="1" x14ac:dyDescent="0.25">
      <c r="X73" s="73"/>
      <c r="Y73" s="73"/>
      <c r="Z73" s="73"/>
      <c r="AA73" s="76"/>
      <c r="AB73" s="77"/>
      <c r="AC73" s="77"/>
      <c r="AD73" s="209"/>
      <c r="AE73" s="209"/>
    </row>
    <row r="74" spans="22:38" ht="39" customHeight="1" x14ac:dyDescent="0.25">
      <c r="X74" s="74"/>
      <c r="Y74" s="74"/>
      <c r="Z74" s="74"/>
      <c r="AA74" s="74"/>
      <c r="AB74" s="74"/>
      <c r="AC74" s="75"/>
      <c r="AD74" s="209"/>
      <c r="AE74" s="209"/>
    </row>
    <row r="77" spans="22:38" ht="15.75" customHeight="1" x14ac:dyDescent="0.25">
      <c r="V77" s="114"/>
    </row>
    <row r="78" spans="22:38" ht="21" x14ac:dyDescent="0.25">
      <c r="V78" s="114"/>
      <c r="X78" s="205"/>
      <c r="Y78" s="205"/>
      <c r="Z78" s="205"/>
      <c r="AA78" s="205"/>
      <c r="AB78" s="205"/>
      <c r="AC78" s="205"/>
      <c r="AD78" s="205"/>
    </row>
    <row r="79" spans="22:38" ht="21" x14ac:dyDescent="0.25">
      <c r="V79" s="114"/>
      <c r="X79" s="205"/>
      <c r="Y79" s="205"/>
      <c r="Z79" s="167"/>
      <c r="AA79" s="167"/>
      <c r="AB79" s="167"/>
      <c r="AC79" s="205"/>
      <c r="AD79" s="205"/>
    </row>
    <row r="80" spans="22:38" ht="21" x14ac:dyDescent="0.25">
      <c r="V80" s="114"/>
      <c r="X80" s="205"/>
      <c r="Y80" s="205"/>
      <c r="Z80" s="167"/>
      <c r="AA80" s="167"/>
      <c r="AB80" s="167"/>
      <c r="AC80" s="205"/>
      <c r="AD80" s="205"/>
    </row>
    <row r="81" spans="1:30" ht="21" x14ac:dyDescent="0.25">
      <c r="V81" s="114"/>
      <c r="X81" s="205"/>
      <c r="Y81" s="205"/>
      <c r="Z81" s="167"/>
      <c r="AA81" s="167"/>
      <c r="AB81" s="167"/>
      <c r="AC81" s="205"/>
      <c r="AD81" s="205"/>
    </row>
    <row r="82" spans="1:30" ht="21" x14ac:dyDescent="0.25">
      <c r="V82" s="114"/>
      <c r="X82" s="205"/>
      <c r="Y82" s="205"/>
      <c r="Z82" s="167"/>
      <c r="AA82" s="167"/>
      <c r="AB82" s="167"/>
      <c r="AC82" s="205"/>
      <c r="AD82" s="205"/>
    </row>
    <row r="83" spans="1:30" ht="21" x14ac:dyDescent="0.25">
      <c r="V83" s="114"/>
      <c r="X83" s="205"/>
      <c r="Y83" s="205"/>
      <c r="Z83" s="167"/>
      <c r="AA83" s="167"/>
      <c r="AB83" s="167"/>
      <c r="AC83" s="205"/>
      <c r="AD83" s="205"/>
    </row>
    <row r="84" spans="1:30" ht="21" x14ac:dyDescent="0.25">
      <c r="X84" s="205"/>
      <c r="Y84" s="205"/>
      <c r="Z84" s="167"/>
      <c r="AA84" s="167"/>
      <c r="AB84" s="167"/>
      <c r="AC84" s="206"/>
      <c r="AD84" s="206"/>
    </row>
    <row r="92" spans="1:30" ht="21" customHeight="1" x14ac:dyDescent="0.25">
      <c r="A92" s="207" t="s">
        <v>84</v>
      </c>
      <c r="B92" s="207" t="s">
        <v>83</v>
      </c>
      <c r="C92" s="207" t="s">
        <v>51</v>
      </c>
      <c r="D92" s="207" t="s">
        <v>38</v>
      </c>
      <c r="E92" s="207" t="s">
        <v>36</v>
      </c>
      <c r="F92" s="207" t="s">
        <v>34</v>
      </c>
      <c r="G92" s="207" t="s">
        <v>31</v>
      </c>
      <c r="H92" s="207" t="s">
        <v>26</v>
      </c>
      <c r="I92" s="207" t="s">
        <v>0</v>
      </c>
      <c r="J92" s="207" t="s">
        <v>86</v>
      </c>
      <c r="K92" s="207" t="s">
        <v>85</v>
      </c>
      <c r="L92" s="207" t="s">
        <v>1</v>
      </c>
    </row>
    <row r="93" spans="1:30" ht="21" customHeight="1" x14ac:dyDescent="0.25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12"/>
    </row>
    <row r="94" spans="1:30" ht="21" x14ac:dyDescent="0.25">
      <c r="A94" s="23">
        <v>0.57638888888888895</v>
      </c>
      <c r="B94" s="23">
        <v>0.71666666666666667</v>
      </c>
      <c r="C94" s="23">
        <v>1.0333333333333334</v>
      </c>
      <c r="D94" s="23">
        <v>0.41388888888888892</v>
      </c>
      <c r="E94" s="23">
        <v>0.19097222222222221</v>
      </c>
      <c r="F94" s="23">
        <v>0.54722222222222217</v>
      </c>
      <c r="G94" s="14">
        <v>0.72569444444444453</v>
      </c>
      <c r="H94" s="14">
        <v>0.92222222222222217</v>
      </c>
      <c r="I94" s="55">
        <v>1.5090277777777779</v>
      </c>
      <c r="J94" s="14">
        <v>0.2986111111111111</v>
      </c>
      <c r="K94" s="20">
        <v>0</v>
      </c>
      <c r="L94" s="40" t="s">
        <v>50</v>
      </c>
    </row>
    <row r="95" spans="1:30" ht="27" customHeight="1" x14ac:dyDescent="0.25">
      <c r="A95" s="15">
        <v>0.22777777777777777</v>
      </c>
      <c r="B95" s="15">
        <v>0.3833333333333333</v>
      </c>
      <c r="C95" s="15">
        <v>0.81944444444444453</v>
      </c>
      <c r="D95" s="15">
        <v>0.6645833333333333</v>
      </c>
      <c r="E95" s="15">
        <v>0.52638888888888891</v>
      </c>
      <c r="F95" s="15">
        <v>1.2979166666666666</v>
      </c>
      <c r="G95" s="21">
        <v>0.34097222222222223</v>
      </c>
      <c r="H95" s="21">
        <v>0.35486111111111113</v>
      </c>
      <c r="I95" s="56">
        <v>0.82152777777777775</v>
      </c>
      <c r="J95" s="21">
        <v>0.12152777777777778</v>
      </c>
      <c r="K95" s="21">
        <v>0.10416666666666667</v>
      </c>
      <c r="L95" s="37" t="s">
        <v>46</v>
      </c>
    </row>
    <row r="96" spans="1:30" ht="21" x14ac:dyDescent="0.25">
      <c r="A96" s="23">
        <v>0.8041666666666667</v>
      </c>
      <c r="B96" s="23">
        <v>1.0999999999999999</v>
      </c>
      <c r="C96" s="23">
        <f>SUM(C94:C95)</f>
        <v>1.8527777777777779</v>
      </c>
      <c r="D96" s="23">
        <f>SUM(D94:D95)</f>
        <v>1.0784722222222223</v>
      </c>
      <c r="E96" s="23">
        <v>0.71736111111111101</v>
      </c>
      <c r="F96" s="23">
        <f>SUM(F94:F95)</f>
        <v>1.8451388888888887</v>
      </c>
      <c r="G96" s="20">
        <v>1.0666666666666667</v>
      </c>
      <c r="H96" s="20">
        <v>1.6312499999999999</v>
      </c>
      <c r="I96" s="55">
        <v>2.3333333333333335</v>
      </c>
      <c r="J96" s="14">
        <v>0.26041666666666669</v>
      </c>
      <c r="K96" s="14">
        <v>0.15972222222222224</v>
      </c>
      <c r="L96" s="40" t="s">
        <v>47</v>
      </c>
    </row>
    <row r="97" spans="1:52" ht="21" x14ac:dyDescent="0.25">
      <c r="A97" s="10">
        <v>25</v>
      </c>
      <c r="B97" s="10">
        <v>26</v>
      </c>
      <c r="C97" s="10">
        <v>26</v>
      </c>
      <c r="D97" s="10">
        <v>26</v>
      </c>
      <c r="E97" s="10">
        <v>26</v>
      </c>
      <c r="F97" s="10">
        <v>30</v>
      </c>
      <c r="G97" s="12">
        <v>22</v>
      </c>
      <c r="H97" s="12">
        <v>26</v>
      </c>
      <c r="I97" s="38">
        <v>26</v>
      </c>
      <c r="J97" s="38">
        <v>25</v>
      </c>
      <c r="K97" s="38">
        <v>12</v>
      </c>
      <c r="L97" s="37" t="s">
        <v>3</v>
      </c>
      <c r="AO97" s="221" t="s">
        <v>84</v>
      </c>
      <c r="AP97" s="214" t="s">
        <v>83</v>
      </c>
      <c r="AQ97" s="216" t="s">
        <v>51</v>
      </c>
      <c r="AR97" s="216" t="s">
        <v>38</v>
      </c>
      <c r="AS97" s="216" t="s">
        <v>36</v>
      </c>
      <c r="AT97" s="216" t="s">
        <v>34</v>
      </c>
      <c r="AU97" s="216" t="s">
        <v>31</v>
      </c>
      <c r="AV97" s="216" t="s">
        <v>26</v>
      </c>
      <c r="AW97" s="216" t="s">
        <v>0</v>
      </c>
      <c r="AX97" s="216" t="s">
        <v>86</v>
      </c>
      <c r="AY97" s="216" t="s">
        <v>85</v>
      </c>
      <c r="AZ97" s="216" t="s">
        <v>1</v>
      </c>
    </row>
    <row r="98" spans="1:52" ht="21" x14ac:dyDescent="0.25">
      <c r="A98" s="9">
        <v>41</v>
      </c>
      <c r="B98" s="9">
        <v>50</v>
      </c>
      <c r="C98" s="9">
        <v>50</v>
      </c>
      <c r="D98" s="9">
        <v>40</v>
      </c>
      <c r="E98" s="9">
        <v>46</v>
      </c>
      <c r="F98" s="9">
        <v>59</v>
      </c>
      <c r="G98" s="11">
        <v>42</v>
      </c>
      <c r="H98" s="11">
        <v>44</v>
      </c>
      <c r="I98" s="39">
        <v>49</v>
      </c>
      <c r="J98" s="39">
        <v>48</v>
      </c>
      <c r="K98" s="39">
        <v>24</v>
      </c>
      <c r="L98" s="40" t="s">
        <v>4</v>
      </c>
      <c r="AO98" s="221"/>
      <c r="AP98" s="215"/>
      <c r="AQ98" s="217"/>
      <c r="AR98" s="217"/>
      <c r="AS98" s="217"/>
      <c r="AT98" s="217"/>
      <c r="AU98" s="217"/>
      <c r="AV98" s="217"/>
      <c r="AW98" s="217"/>
      <c r="AX98" s="222"/>
      <c r="AY98" s="217"/>
      <c r="AZ98" s="222"/>
    </row>
    <row r="99" spans="1:52" ht="21.75" x14ac:dyDescent="0.25">
      <c r="AO99" s="238">
        <v>3125</v>
      </c>
      <c r="AP99" s="238">
        <v>3250</v>
      </c>
      <c r="AQ99" s="238">
        <v>3250</v>
      </c>
      <c r="AR99" s="238">
        <v>3250</v>
      </c>
      <c r="AS99" s="238">
        <v>3250</v>
      </c>
      <c r="AT99" s="238">
        <v>3750</v>
      </c>
      <c r="AU99" s="238">
        <v>2750</v>
      </c>
      <c r="AV99" s="238">
        <v>3250</v>
      </c>
      <c r="AW99" s="238">
        <v>3250</v>
      </c>
      <c r="AX99" s="238">
        <v>3125</v>
      </c>
      <c r="AY99" s="238">
        <v>1500</v>
      </c>
      <c r="AZ99" s="126" t="s">
        <v>76</v>
      </c>
    </row>
    <row r="100" spans="1:52" ht="21.75" x14ac:dyDescent="0.25">
      <c r="AO100" s="239">
        <v>25</v>
      </c>
      <c r="AP100" s="240">
        <v>26</v>
      </c>
      <c r="AQ100" s="241">
        <v>26</v>
      </c>
      <c r="AR100" s="241">
        <v>26</v>
      </c>
      <c r="AS100" s="241">
        <v>26</v>
      </c>
      <c r="AT100" s="241">
        <v>30</v>
      </c>
      <c r="AU100" s="242">
        <v>22</v>
      </c>
      <c r="AV100" s="242">
        <v>26</v>
      </c>
      <c r="AW100" s="243">
        <v>26</v>
      </c>
      <c r="AX100" s="243">
        <v>25</v>
      </c>
      <c r="AY100" s="243">
        <v>12</v>
      </c>
      <c r="AZ100" s="127" t="s">
        <v>79</v>
      </c>
    </row>
    <row r="101" spans="1:52" ht="21.75" x14ac:dyDescent="0.25">
      <c r="E101" s="205"/>
      <c r="F101" s="205"/>
      <c r="G101" s="205"/>
      <c r="H101" s="205"/>
      <c r="I101" s="205"/>
      <c r="J101" s="205"/>
      <c r="K101" s="205"/>
      <c r="L101" s="205"/>
      <c r="AO101" s="238">
        <v>2453</v>
      </c>
      <c r="AP101" s="244">
        <v>2904</v>
      </c>
      <c r="AQ101" s="238">
        <v>2768</v>
      </c>
      <c r="AR101" s="238">
        <v>1861</v>
      </c>
      <c r="AS101" s="238">
        <v>2466</v>
      </c>
      <c r="AT101" s="238">
        <v>3409</v>
      </c>
      <c r="AU101" s="238">
        <v>2593</v>
      </c>
      <c r="AV101" s="238">
        <v>2009</v>
      </c>
      <c r="AW101" s="238">
        <v>2772</v>
      </c>
      <c r="AX101" s="238">
        <v>2645</v>
      </c>
      <c r="AY101" s="238">
        <v>1235</v>
      </c>
      <c r="AZ101" s="126" t="s">
        <v>77</v>
      </c>
    </row>
    <row r="102" spans="1:52" ht="21" customHeight="1" x14ac:dyDescent="0.25">
      <c r="E102" s="205"/>
      <c r="F102" s="205"/>
      <c r="G102" s="205"/>
      <c r="H102" s="205"/>
      <c r="I102" s="205"/>
      <c r="J102" s="205"/>
      <c r="K102" s="205"/>
      <c r="L102" s="205"/>
      <c r="AO102" s="245">
        <v>0.78500000000000003</v>
      </c>
      <c r="AP102" s="246">
        <v>0.89349999999999996</v>
      </c>
      <c r="AQ102" s="245">
        <v>0.85170000000000001</v>
      </c>
      <c r="AR102" s="245">
        <v>0.57289999999999996</v>
      </c>
      <c r="AS102" s="245">
        <v>0.75880000000000003</v>
      </c>
      <c r="AT102" s="245">
        <v>0.90910000000000002</v>
      </c>
      <c r="AU102" s="245">
        <v>0.94289999999999996</v>
      </c>
      <c r="AV102" s="245">
        <v>0.61819999999999997</v>
      </c>
      <c r="AW102" s="245">
        <v>0.85289999999999999</v>
      </c>
      <c r="AX102" s="245">
        <v>0.84640000000000004</v>
      </c>
      <c r="AY102" s="245">
        <v>0.82330000000000003</v>
      </c>
      <c r="AZ102" s="126" t="s">
        <v>78</v>
      </c>
    </row>
    <row r="103" spans="1:52" ht="33.75" customHeight="1" x14ac:dyDescent="0.25">
      <c r="E103" s="210"/>
      <c r="F103" s="210"/>
      <c r="G103" s="159"/>
      <c r="H103" s="159"/>
      <c r="I103" s="159"/>
      <c r="J103" s="159"/>
      <c r="K103" s="159"/>
      <c r="L103" s="159"/>
    </row>
    <row r="104" spans="1:52" ht="27.75" customHeight="1" x14ac:dyDescent="0.25">
      <c r="E104" s="211"/>
      <c r="F104" s="211"/>
      <c r="G104" s="160"/>
      <c r="H104" s="160"/>
      <c r="I104" s="160"/>
      <c r="J104" s="160"/>
      <c r="K104" s="160"/>
      <c r="L104" s="161"/>
    </row>
    <row r="105" spans="1:52" ht="24.75" customHeight="1" x14ac:dyDescent="0.25">
      <c r="E105" s="236"/>
      <c r="F105" s="236"/>
      <c r="G105" s="162"/>
      <c r="H105" s="162"/>
      <c r="I105" s="162"/>
      <c r="J105" s="162"/>
      <c r="K105" s="162"/>
      <c r="L105" s="163"/>
    </row>
    <row r="106" spans="1:52" ht="24.75" customHeight="1" x14ac:dyDescent="0.25">
      <c r="E106" s="236"/>
      <c r="F106" s="236"/>
      <c r="G106" s="164"/>
      <c r="H106" s="164"/>
      <c r="I106" s="164"/>
      <c r="J106" s="164"/>
      <c r="K106" s="164"/>
      <c r="L106" s="165"/>
    </row>
    <row r="107" spans="1:52" ht="26.25" customHeight="1" x14ac:dyDescent="0.25">
      <c r="E107" s="236"/>
      <c r="F107" s="236"/>
      <c r="G107" s="164"/>
      <c r="H107" s="164"/>
      <c r="I107" s="164"/>
      <c r="J107" s="164"/>
      <c r="K107" s="164"/>
      <c r="L107" s="165"/>
    </row>
    <row r="108" spans="1:52" ht="24.75" customHeight="1" x14ac:dyDescent="0.25">
      <c r="E108" s="236"/>
      <c r="F108" s="236"/>
      <c r="G108" s="164"/>
      <c r="H108" s="164"/>
      <c r="I108" s="164"/>
      <c r="J108" s="164"/>
      <c r="K108" s="164"/>
      <c r="L108" s="165"/>
    </row>
    <row r="109" spans="1:52" ht="28.5" customHeight="1" x14ac:dyDescent="0.25"/>
    <row r="110" spans="1:52" ht="27" customHeight="1" x14ac:dyDescent="0.25"/>
    <row r="115" spans="1:24" ht="21" customHeight="1" x14ac:dyDescent="0.25">
      <c r="A115" s="207" t="s">
        <v>84</v>
      </c>
      <c r="B115" s="207" t="s">
        <v>83</v>
      </c>
      <c r="C115" s="207" t="s">
        <v>51</v>
      </c>
      <c r="D115" s="207" t="s">
        <v>38</v>
      </c>
      <c r="E115" s="207" t="s">
        <v>36</v>
      </c>
      <c r="F115" s="207" t="s">
        <v>34</v>
      </c>
      <c r="G115" s="207" t="s">
        <v>31</v>
      </c>
      <c r="H115" s="207" t="s">
        <v>26</v>
      </c>
      <c r="I115" s="207" t="s">
        <v>0</v>
      </c>
      <c r="J115" s="207" t="s">
        <v>86</v>
      </c>
      <c r="K115" s="207" t="s">
        <v>85</v>
      </c>
      <c r="L115" s="207" t="s">
        <v>1</v>
      </c>
      <c r="N115" s="218"/>
      <c r="O115" s="221" t="s">
        <v>84</v>
      </c>
      <c r="P115" s="214" t="s">
        <v>83</v>
      </c>
      <c r="Q115" s="216" t="s">
        <v>51</v>
      </c>
      <c r="R115" s="216" t="s">
        <v>38</v>
      </c>
      <c r="S115" s="216" t="s">
        <v>36</v>
      </c>
      <c r="T115" s="216" t="s">
        <v>34</v>
      </c>
      <c r="U115" s="216" t="s">
        <v>31</v>
      </c>
      <c r="V115" s="216" t="s">
        <v>26</v>
      </c>
      <c r="W115" s="216" t="s">
        <v>0</v>
      </c>
      <c r="X115" s="216" t="s">
        <v>1</v>
      </c>
    </row>
    <row r="116" spans="1:24" ht="21" customHeight="1" x14ac:dyDescent="0.25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12"/>
      <c r="N116" s="218"/>
      <c r="O116" s="221"/>
      <c r="P116" s="215"/>
      <c r="Q116" s="217"/>
      <c r="R116" s="217"/>
      <c r="S116" s="217"/>
      <c r="T116" s="217"/>
      <c r="U116" s="217"/>
      <c r="V116" s="217"/>
      <c r="W116" s="217"/>
      <c r="X116" s="222"/>
    </row>
    <row r="117" spans="1:24" ht="24" x14ac:dyDescent="0.25">
      <c r="A117" s="10">
        <v>109</v>
      </c>
      <c r="B117" s="10">
        <v>135</v>
      </c>
      <c r="C117" s="10">
        <v>123</v>
      </c>
      <c r="D117" s="10">
        <v>80</v>
      </c>
      <c r="E117" s="10">
        <v>111</v>
      </c>
      <c r="F117" s="10">
        <v>144</v>
      </c>
      <c r="G117" s="12">
        <v>117</v>
      </c>
      <c r="H117" s="12">
        <v>98</v>
      </c>
      <c r="I117" s="38">
        <v>133</v>
      </c>
      <c r="J117" s="38">
        <v>121</v>
      </c>
      <c r="K117" s="38">
        <v>54</v>
      </c>
      <c r="L117" s="119" t="s">
        <v>30</v>
      </c>
      <c r="N117" s="185"/>
      <c r="O117" s="128">
        <v>3125</v>
      </c>
      <c r="P117" s="128">
        <v>3250</v>
      </c>
      <c r="Q117" s="128">
        <v>3250</v>
      </c>
      <c r="R117" s="128">
        <v>3250</v>
      </c>
      <c r="S117" s="128">
        <v>3250</v>
      </c>
      <c r="T117" s="128">
        <v>3750</v>
      </c>
      <c r="U117" s="128">
        <v>2750</v>
      </c>
      <c r="V117" s="128">
        <v>3250</v>
      </c>
      <c r="W117" s="128">
        <v>3250</v>
      </c>
      <c r="X117" s="126" t="s">
        <v>76</v>
      </c>
    </row>
    <row r="118" spans="1:24" ht="24" x14ac:dyDescent="0.25">
      <c r="A118" s="116">
        <v>107</v>
      </c>
      <c r="B118" s="116">
        <v>127</v>
      </c>
      <c r="C118" s="116">
        <v>119</v>
      </c>
      <c r="D118" s="116">
        <v>75</v>
      </c>
      <c r="E118" s="116">
        <v>104</v>
      </c>
      <c r="F118" s="116">
        <v>134</v>
      </c>
      <c r="G118" s="117">
        <v>108</v>
      </c>
      <c r="H118" s="117">
        <v>86</v>
      </c>
      <c r="I118" s="118">
        <v>124</v>
      </c>
      <c r="J118" s="118">
        <v>114</v>
      </c>
      <c r="K118" s="118">
        <v>50</v>
      </c>
      <c r="L118" s="120" t="s">
        <v>42</v>
      </c>
      <c r="N118" s="185"/>
      <c r="O118" s="186">
        <v>25</v>
      </c>
      <c r="P118" s="183">
        <v>26</v>
      </c>
      <c r="Q118" s="95">
        <v>26</v>
      </c>
      <c r="R118" s="95">
        <v>26</v>
      </c>
      <c r="S118" s="95">
        <v>26</v>
      </c>
      <c r="T118" s="95">
        <v>30</v>
      </c>
      <c r="U118" s="129">
        <v>22</v>
      </c>
      <c r="V118" s="129">
        <v>26</v>
      </c>
      <c r="W118" s="130">
        <v>26</v>
      </c>
      <c r="X118" s="127" t="s">
        <v>79</v>
      </c>
    </row>
    <row r="119" spans="1:24" ht="24" x14ac:dyDescent="0.25">
      <c r="A119" s="132">
        <v>0.99050000000000005</v>
      </c>
      <c r="B119" s="132">
        <v>0.97170000000000001</v>
      </c>
      <c r="C119" s="132">
        <v>0.96750000000000003</v>
      </c>
      <c r="D119" s="133">
        <v>0.9375</v>
      </c>
      <c r="E119" s="133">
        <v>0.93689999999999996</v>
      </c>
      <c r="F119" s="133">
        <v>0.93059999999999998</v>
      </c>
      <c r="G119" s="133">
        <v>0.92310000000000003</v>
      </c>
      <c r="H119" s="133">
        <v>0.9163</v>
      </c>
      <c r="I119" s="133">
        <v>0.93230000000000002</v>
      </c>
      <c r="J119" s="133">
        <v>0.94210000000000005</v>
      </c>
      <c r="K119" s="133">
        <v>0.92589999999999995</v>
      </c>
      <c r="L119" s="121" t="s">
        <v>74</v>
      </c>
      <c r="N119" s="185"/>
      <c r="O119" s="128">
        <v>2453</v>
      </c>
      <c r="P119" s="182">
        <v>2904</v>
      </c>
      <c r="Q119" s="128">
        <v>2768</v>
      </c>
      <c r="R119" s="128">
        <v>1861</v>
      </c>
      <c r="S119" s="128">
        <v>2466</v>
      </c>
      <c r="T119" s="128">
        <v>3409</v>
      </c>
      <c r="U119" s="128">
        <v>2593</v>
      </c>
      <c r="V119" s="128">
        <v>2009</v>
      </c>
      <c r="W119" s="128">
        <v>2772</v>
      </c>
      <c r="X119" s="126" t="s">
        <v>77</v>
      </c>
    </row>
    <row r="120" spans="1:24" ht="24" x14ac:dyDescent="0.25">
      <c r="N120" s="185"/>
      <c r="O120" s="131"/>
      <c r="P120" s="184"/>
      <c r="Q120" s="131"/>
      <c r="R120" s="131"/>
      <c r="S120" s="131"/>
      <c r="T120" s="131"/>
      <c r="U120" s="131"/>
      <c r="V120" s="131"/>
      <c r="W120" s="131"/>
      <c r="X120" s="126" t="s">
        <v>78</v>
      </c>
    </row>
    <row r="127" spans="1:24" ht="15.75" customHeight="1" x14ac:dyDescent="0.25"/>
    <row r="129" spans="1:21" x14ac:dyDescent="0.25">
      <c r="N129" s="213"/>
      <c r="O129" s="213"/>
      <c r="P129" s="213"/>
      <c r="Q129" s="213"/>
      <c r="R129" s="213"/>
      <c r="S129" s="213"/>
      <c r="T129" s="213"/>
      <c r="U129" s="213"/>
    </row>
    <row r="130" spans="1:21" x14ac:dyDescent="0.25">
      <c r="N130" s="213"/>
      <c r="O130" s="213"/>
      <c r="P130" s="213"/>
      <c r="Q130" s="213"/>
      <c r="R130" s="213"/>
      <c r="S130" s="213"/>
      <c r="T130" s="213"/>
      <c r="U130" s="213"/>
    </row>
    <row r="131" spans="1:21" ht="24" x14ac:dyDescent="0.25">
      <c r="N131" s="169"/>
      <c r="O131" s="169"/>
      <c r="P131" s="169"/>
      <c r="Q131" s="169"/>
      <c r="R131" s="169"/>
      <c r="S131" s="169"/>
      <c r="T131" s="169"/>
      <c r="U131" s="161"/>
    </row>
    <row r="132" spans="1:21" ht="24" x14ac:dyDescent="0.25">
      <c r="N132" s="175"/>
      <c r="O132" s="175"/>
      <c r="P132" s="175"/>
      <c r="Q132" s="175"/>
      <c r="R132" s="174"/>
      <c r="S132" s="174"/>
      <c r="T132" s="174"/>
      <c r="U132" s="165"/>
    </row>
    <row r="133" spans="1:21" ht="24" x14ac:dyDescent="0.25">
      <c r="N133" s="169"/>
      <c r="O133" s="169"/>
      <c r="P133" s="169"/>
      <c r="Q133" s="169"/>
      <c r="R133" s="169"/>
      <c r="S133" s="169"/>
      <c r="T133" s="169"/>
      <c r="U133" s="161"/>
    </row>
    <row r="134" spans="1:21" ht="24" x14ac:dyDescent="0.25">
      <c r="D134" s="68"/>
      <c r="E134" s="68"/>
      <c r="F134" s="68"/>
      <c r="G134" s="68"/>
      <c r="H134" s="205"/>
      <c r="I134" s="205"/>
      <c r="J134" s="205"/>
      <c r="K134" s="205"/>
      <c r="N134" s="176"/>
      <c r="O134" s="176"/>
      <c r="P134" s="176"/>
      <c r="Q134" s="176"/>
      <c r="R134" s="176"/>
      <c r="S134" s="176"/>
      <c r="T134" s="176"/>
      <c r="U134" s="161"/>
    </row>
    <row r="135" spans="1:21" ht="21" x14ac:dyDescent="0.25">
      <c r="D135" s="68"/>
      <c r="E135" s="68"/>
      <c r="F135" s="68"/>
      <c r="G135" s="68"/>
      <c r="H135" s="205"/>
      <c r="I135" s="205"/>
      <c r="J135" s="205"/>
      <c r="K135" s="205"/>
    </row>
    <row r="136" spans="1:21" ht="21" x14ac:dyDescent="0.25">
      <c r="D136" s="68"/>
      <c r="E136" s="68"/>
      <c r="F136" s="68"/>
      <c r="G136" s="68"/>
      <c r="H136" s="205"/>
      <c r="I136" s="205"/>
      <c r="J136" s="205"/>
      <c r="K136" s="205"/>
    </row>
    <row r="140" spans="1:21" ht="21" x14ac:dyDescent="0.25">
      <c r="E140" s="205"/>
      <c r="F140" s="205"/>
      <c r="G140" s="205"/>
      <c r="H140" s="205"/>
      <c r="I140" s="205"/>
      <c r="J140" s="205"/>
      <c r="K140" s="205"/>
      <c r="L140" s="205"/>
    </row>
    <row r="141" spans="1:21" ht="21" x14ac:dyDescent="0.25">
      <c r="E141" s="68"/>
      <c r="F141" s="68"/>
      <c r="G141" s="68"/>
      <c r="H141" s="68"/>
      <c r="I141" s="134"/>
      <c r="J141" s="134"/>
      <c r="K141" s="205"/>
      <c r="L141" s="205"/>
    </row>
    <row r="142" spans="1:21" ht="21" x14ac:dyDescent="0.25">
      <c r="E142" s="68"/>
      <c r="F142" s="68"/>
      <c r="G142" s="68"/>
      <c r="H142" s="68"/>
      <c r="I142" s="134"/>
      <c r="J142" s="134"/>
      <c r="K142" s="205"/>
      <c r="L142" s="205"/>
    </row>
    <row r="143" spans="1:21" ht="21" customHeight="1" x14ac:dyDescent="0.25">
      <c r="A143" s="207" t="s">
        <v>84</v>
      </c>
      <c r="B143" s="207" t="s">
        <v>83</v>
      </c>
      <c r="C143" s="207" t="s">
        <v>51</v>
      </c>
      <c r="D143" s="207" t="s">
        <v>38</v>
      </c>
      <c r="E143" s="207" t="s">
        <v>36</v>
      </c>
      <c r="F143" s="207" t="s">
        <v>34</v>
      </c>
      <c r="G143" s="207" t="s">
        <v>31</v>
      </c>
      <c r="H143" s="207" t="s">
        <v>26</v>
      </c>
      <c r="I143" s="207" t="s">
        <v>0</v>
      </c>
      <c r="J143" s="207" t="s">
        <v>86</v>
      </c>
      <c r="K143" s="207" t="s">
        <v>85</v>
      </c>
      <c r="L143" s="207" t="s">
        <v>1</v>
      </c>
    </row>
    <row r="144" spans="1:21" ht="21" customHeight="1" x14ac:dyDescent="0.25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12"/>
    </row>
    <row r="145" spans="1:12" ht="21" x14ac:dyDescent="0.25">
      <c r="A145" s="10">
        <v>2453975</v>
      </c>
      <c r="B145" s="116">
        <v>2904775</v>
      </c>
      <c r="C145" s="10">
        <v>2768250</v>
      </c>
      <c r="D145" s="10">
        <v>1861325</v>
      </c>
      <c r="E145" s="10">
        <v>2466850</v>
      </c>
      <c r="F145" s="10">
        <v>3409600</v>
      </c>
      <c r="G145" s="10">
        <v>2593775</v>
      </c>
      <c r="H145" s="10">
        <v>2009225</v>
      </c>
      <c r="I145" s="123">
        <v>2772275</v>
      </c>
      <c r="J145" s="10">
        <v>2645405</v>
      </c>
      <c r="K145" s="10">
        <v>1234585</v>
      </c>
      <c r="L145" s="119" t="s">
        <v>39</v>
      </c>
    </row>
    <row r="146" spans="1:12" ht="21" x14ac:dyDescent="0.25">
      <c r="A146" s="10">
        <v>20</v>
      </c>
      <c r="B146" s="10">
        <v>47</v>
      </c>
      <c r="C146" s="10">
        <v>20</v>
      </c>
      <c r="D146" s="10">
        <v>24</v>
      </c>
      <c r="E146" s="10">
        <v>22</v>
      </c>
      <c r="F146" s="10">
        <v>74</v>
      </c>
      <c r="G146" s="10">
        <v>120</v>
      </c>
      <c r="H146" s="10">
        <v>60</v>
      </c>
      <c r="I146" s="123">
        <v>110</v>
      </c>
      <c r="J146" s="123">
        <v>55</v>
      </c>
      <c r="K146" s="123">
        <v>29</v>
      </c>
      <c r="L146" s="119" t="s">
        <v>53</v>
      </c>
    </row>
    <row r="147" spans="1:12" ht="19.5" x14ac:dyDescent="0.25">
      <c r="A147" s="124">
        <v>0.9819</v>
      </c>
      <c r="B147" s="124">
        <v>0.97589999999999999</v>
      </c>
      <c r="C147" s="124">
        <v>0.98629999999999995</v>
      </c>
      <c r="D147" s="124">
        <v>0.97450000000000003</v>
      </c>
      <c r="E147" s="124">
        <v>0.98229999999999995</v>
      </c>
      <c r="F147" s="124">
        <v>0.95750000000000002</v>
      </c>
      <c r="G147" s="124">
        <v>0.91149999999999998</v>
      </c>
      <c r="H147" s="124">
        <v>0.94199999999999995</v>
      </c>
      <c r="I147" s="124">
        <v>0.92359999999999998</v>
      </c>
      <c r="J147" s="124">
        <v>0.96899999999999997</v>
      </c>
      <c r="K147" s="124">
        <v>0.96699999999999997</v>
      </c>
      <c r="L147" s="121" t="s">
        <v>75</v>
      </c>
    </row>
    <row r="155" spans="1:12" ht="30" customHeight="1" x14ac:dyDescent="0.25"/>
    <row r="156" spans="1:12" ht="27.75" customHeight="1" x14ac:dyDescent="0.25"/>
    <row r="157" spans="1:12" ht="27.75" customHeight="1" x14ac:dyDescent="0.25"/>
    <row r="168" ht="27.75" customHeight="1" x14ac:dyDescent="0.25"/>
    <row r="169" ht="26.25" customHeight="1" x14ac:dyDescent="0.25"/>
    <row r="170" ht="24" customHeight="1" x14ac:dyDescent="0.25"/>
  </sheetData>
  <mergeCells count="135">
    <mergeCell ref="AZ97:AZ98"/>
    <mergeCell ref="AW97:AW98"/>
    <mergeCell ref="AX97:AX98"/>
    <mergeCell ref="AO97:AO98"/>
    <mergeCell ref="AP97:AP98"/>
    <mergeCell ref="AQ97:AQ98"/>
    <mergeCell ref="AR97:AR98"/>
    <mergeCell ref="AS97:AS98"/>
    <mergeCell ref="AT97:AT98"/>
    <mergeCell ref="AU97:AU98"/>
    <mergeCell ref="AV97:AV98"/>
    <mergeCell ref="AY97:AY98"/>
    <mergeCell ref="T129:T130"/>
    <mergeCell ref="S129:S130"/>
    <mergeCell ref="R129:R130"/>
    <mergeCell ref="K92:K93"/>
    <mergeCell ref="L92:L93"/>
    <mergeCell ref="O129:O130"/>
    <mergeCell ref="I92:I93"/>
    <mergeCell ref="A143:A144"/>
    <mergeCell ref="D143:D144"/>
    <mergeCell ref="E143:E144"/>
    <mergeCell ref="F143:F144"/>
    <mergeCell ref="G143:G144"/>
    <mergeCell ref="N129:N130"/>
    <mergeCell ref="H143:H144"/>
    <mergeCell ref="K143:K144"/>
    <mergeCell ref="L143:L144"/>
    <mergeCell ref="Q129:Q130"/>
    <mergeCell ref="P129:P130"/>
    <mergeCell ref="I115:I116"/>
    <mergeCell ref="J115:J116"/>
    <mergeCell ref="C115:C116"/>
    <mergeCell ref="B115:B116"/>
    <mergeCell ref="I143:I144"/>
    <mergeCell ref="J143:J144"/>
    <mergeCell ref="A1:M1"/>
    <mergeCell ref="E140:L140"/>
    <mergeCell ref="K141:L141"/>
    <mergeCell ref="K142:L142"/>
    <mergeCell ref="M28:M33"/>
    <mergeCell ref="M38:M41"/>
    <mergeCell ref="E107:F107"/>
    <mergeCell ref="E108:F108"/>
    <mergeCell ref="A92:A93"/>
    <mergeCell ref="D92:D93"/>
    <mergeCell ref="A115:A116"/>
    <mergeCell ref="D115:D116"/>
    <mergeCell ref="M34:M37"/>
    <mergeCell ref="E105:F105"/>
    <mergeCell ref="E106:F106"/>
    <mergeCell ref="E115:E116"/>
    <mergeCell ref="F115:F116"/>
    <mergeCell ref="G115:G116"/>
    <mergeCell ref="C92:C93"/>
    <mergeCell ref="B92:B93"/>
    <mergeCell ref="J92:J93"/>
    <mergeCell ref="M3:M19"/>
    <mergeCell ref="M21:M27"/>
    <mergeCell ref="L20:M20"/>
    <mergeCell ref="X29:AD29"/>
    <mergeCell ref="AD73:AE73"/>
    <mergeCell ref="AM51:AN51"/>
    <mergeCell ref="AM52:AN52"/>
    <mergeCell ref="AM53:AN53"/>
    <mergeCell ref="AM54:AN54"/>
    <mergeCell ref="AB30:AD30"/>
    <mergeCell ref="AB31:AD31"/>
    <mergeCell ref="AB32:AD32"/>
    <mergeCell ref="AF50:AN50"/>
    <mergeCell ref="AC42:AD42"/>
    <mergeCell ref="AC43:AD43"/>
    <mergeCell ref="AK66:AL66"/>
    <mergeCell ref="AK67:AL67"/>
    <mergeCell ref="AK68:AL68"/>
    <mergeCell ref="AK69:AL69"/>
    <mergeCell ref="AK70:AL70"/>
    <mergeCell ref="U115:U116"/>
    <mergeCell ref="X78:AD78"/>
    <mergeCell ref="AB33:AD33"/>
    <mergeCell ref="AM46:AN46"/>
    <mergeCell ref="AM47:AN47"/>
    <mergeCell ref="AM48:AN48"/>
    <mergeCell ref="AM45:AN45"/>
    <mergeCell ref="AM44:AN44"/>
    <mergeCell ref="Y37:AD37"/>
    <mergeCell ref="AC38:AD38"/>
    <mergeCell ref="AC39:AD39"/>
    <mergeCell ref="AC40:AD40"/>
    <mergeCell ref="AC41:AD41"/>
    <mergeCell ref="O43:X43"/>
    <mergeCell ref="AA57:AM57"/>
    <mergeCell ref="AC79:AD79"/>
    <mergeCell ref="V115:V116"/>
    <mergeCell ref="O115:O116"/>
    <mergeCell ref="W115:W116"/>
    <mergeCell ref="X115:X116"/>
    <mergeCell ref="AL58:AM58"/>
    <mergeCell ref="AL59:AM59"/>
    <mergeCell ref="AL60:AM60"/>
    <mergeCell ref="AL61:AM61"/>
    <mergeCell ref="C143:C144"/>
    <mergeCell ref="B143:B144"/>
    <mergeCell ref="AD74:AE74"/>
    <mergeCell ref="X79:Y79"/>
    <mergeCell ref="E101:L102"/>
    <mergeCell ref="E103:F103"/>
    <mergeCell ref="E104:F104"/>
    <mergeCell ref="E92:E93"/>
    <mergeCell ref="F92:F93"/>
    <mergeCell ref="G92:G93"/>
    <mergeCell ref="H134:K134"/>
    <mergeCell ref="H135:K135"/>
    <mergeCell ref="H136:K136"/>
    <mergeCell ref="H92:H93"/>
    <mergeCell ref="K115:K116"/>
    <mergeCell ref="L115:L116"/>
    <mergeCell ref="H115:H116"/>
    <mergeCell ref="U129:U130"/>
    <mergeCell ref="P115:P116"/>
    <mergeCell ref="Q115:Q116"/>
    <mergeCell ref="R115:R116"/>
    <mergeCell ref="S115:S116"/>
    <mergeCell ref="T115:T116"/>
    <mergeCell ref="N115:N116"/>
    <mergeCell ref="AC80:AD80"/>
    <mergeCell ref="X80:Y80"/>
    <mergeCell ref="AC84:AD84"/>
    <mergeCell ref="X84:Y84"/>
    <mergeCell ref="AC81:AD81"/>
    <mergeCell ref="AC82:AD82"/>
    <mergeCell ref="AC83:AD83"/>
    <mergeCell ref="X81:Y81"/>
    <mergeCell ref="X82:Y82"/>
    <mergeCell ref="X83:Y83"/>
  </mergeCells>
  <printOptions horizontalCentered="1"/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4169-EE3F-4C79-A6CF-85FC23F8B345}">
  <dimension ref="A1"/>
  <sheetViews>
    <sheetView rightToLeft="1" workbookViewId="0">
      <selection activeCell="Q15" sqref="Q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به تفکیک شیفت (2)</vt:lpstr>
      <vt:lpstr> خلاصه عملکرد ماهانه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Kerman Computer</dc:creator>
  <cp:lastModifiedBy>Kerman Computer</cp:lastModifiedBy>
  <cp:lastPrinted>2026-05-20T09:50:02Z</cp:lastPrinted>
  <dcterms:created xsi:type="dcterms:W3CDTF">2025-06-04T08:34:38Z</dcterms:created>
  <dcterms:modified xsi:type="dcterms:W3CDTF">2026-06-08T09:01:35Z</dcterms:modified>
</cp:coreProperties>
</file>