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an Computer\Desktop\فرم های تولید\فرم های تولید 1405\خرداد\"/>
    </mc:Choice>
  </mc:AlternateContent>
  <xr:revisionPtr revIDLastSave="0" documentId="13_ncr:1_{3F519AEF-9057-4112-AAB8-31745B38E1B7}" xr6:coauthVersionLast="47" xr6:coauthVersionMax="47" xr10:uidLastSave="{00000000-0000-0000-0000-000000000000}"/>
  <bookViews>
    <workbookView xWindow="-120" yWindow="-120" windowWidth="24240" windowHeight="13140" xr2:uid="{2B528CEE-D148-4A01-87C2-09DB8A1F1B16}"/>
  </bookViews>
  <sheets>
    <sheet name="به تفکیک شیفت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1" i="1" l="1"/>
  <c r="B33" i="1"/>
  <c r="C33" i="1"/>
  <c r="D33" i="1"/>
  <c r="A4" i="1" l="1"/>
  <c r="A5" i="1"/>
  <c r="A6" i="1"/>
  <c r="A7" i="1"/>
  <c r="A9" i="1"/>
  <c r="A10" i="1"/>
  <c r="A11" i="1"/>
  <c r="A12" i="1"/>
  <c r="A13" i="1"/>
  <c r="A14" i="1"/>
  <c r="A15" i="1"/>
  <c r="A16" i="1"/>
  <c r="A17" i="1"/>
  <c r="A20" i="1"/>
  <c r="A21" i="1"/>
  <c r="A22" i="1"/>
  <c r="A23" i="1"/>
  <c r="A24" i="1"/>
  <c r="A25" i="1"/>
  <c r="A26" i="1"/>
  <c r="A27" i="1"/>
  <c r="A28" i="1"/>
  <c r="A29" i="1"/>
  <c r="A30" i="1"/>
  <c r="A32" i="1"/>
  <c r="A33" i="1" l="1"/>
</calcChain>
</file>

<file path=xl/sharedStrings.xml><?xml version="1.0" encoding="utf-8"?>
<sst xmlns="http://schemas.openxmlformats.org/spreadsheetml/2006/main" count="48" uniqueCount="42">
  <si>
    <r>
      <t xml:space="preserve">مجموع کل توقفات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</si>
  <si>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کندی ها  </t>
    </r>
    <r>
      <rPr>
        <sz val="8"/>
        <rFont val="A  Mitra_1 (MRT)"/>
        <charset val="178"/>
      </rPr>
      <t>(ساعت )</t>
    </r>
  </si>
  <si>
    <r>
      <t xml:space="preserve">توقفات تولیدی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</si>
  <si>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توقفات</t>
  </si>
  <si>
    <r>
      <t xml:space="preserve">توقفات فنی </t>
    </r>
    <r>
      <rPr>
        <sz val="11"/>
        <rFont val="A  Mitra_1 (MRT)"/>
        <charset val="178"/>
      </rPr>
      <t>(تمام تجهیزات)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</si>
  <si>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درصد شمش نرمال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</si>
  <si>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نرمال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</si>
  <si>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استاندارد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</si>
  <si>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کنترل کیفیت</t>
  </si>
  <si>
    <r>
      <t xml:space="preserve">درصد تولید شمش استاندارد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</si>
  <si>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مقدار مصرف کک  </t>
    </r>
    <r>
      <rPr>
        <sz val="6"/>
        <rFont val="A  Mitra_1 (MRT)"/>
        <charset val="178"/>
      </rPr>
      <t>(کیلوگرم)</t>
    </r>
  </si>
  <si>
    <r>
      <t xml:space="preserve">مقدار مصرف فرو سیلیس   </t>
    </r>
    <r>
      <rPr>
        <sz val="6"/>
        <rFont val="A  Mitra_1 (MRT)"/>
        <charset val="178"/>
      </rPr>
      <t>(کیلوگرم)</t>
    </r>
  </si>
  <si>
    <t>مصرف فروآلیاژ</t>
  </si>
  <si>
    <r>
      <t xml:space="preserve">مقدار مصرف فرو سیلیکو منگنز  </t>
    </r>
    <r>
      <rPr>
        <sz val="6"/>
        <rFont val="A  Mitra_1 (MRT)"/>
        <charset val="178"/>
      </rPr>
      <t>(کیلوگرم)</t>
    </r>
  </si>
  <si>
    <r>
      <rPr>
        <sz val="12"/>
        <rFont val="A  Mitra_1 (MRT)"/>
        <charset val="178"/>
      </rPr>
      <t xml:space="preserve">حداکثر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</si>
  <si>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-</t>
  </si>
  <si>
    <r>
      <rPr>
        <sz val="12"/>
        <rFont val="A  Mitra_1 (MRT)"/>
        <charset val="178"/>
      </rPr>
      <t xml:space="preserve">کمترین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</si>
  <si>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با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</si>
  <si>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بدون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</si>
  <si>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زمان کارکرد کوره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</si>
  <si>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متوسط زمان ذوب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دقیقه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</si>
  <si>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ذوب ریخته گری ناقص </t>
    </r>
    <r>
      <rPr>
        <sz val="8"/>
        <rFont val="A  Mitra_1 (MRT)"/>
        <charset val="178"/>
      </rPr>
      <t>(عدد)</t>
    </r>
  </si>
  <si>
    <r>
      <t xml:space="preserve">تعداد  ذوب برگشتی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</si>
  <si>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کل ذوبها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</si>
  <si>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تعداد شیفت کاری</t>
  </si>
  <si>
    <r>
      <t xml:space="preserve">درصد ضایعات برگشتی </t>
    </r>
    <r>
      <rPr>
        <sz val="8"/>
        <rFont val="B Nazanin"/>
        <charset val="178"/>
      </rPr>
      <t>( درصد )</t>
    </r>
  </si>
  <si>
    <r>
      <t xml:space="preserve">تناژ ضایعات برگشتی  </t>
    </r>
    <r>
      <rPr>
        <b/>
        <vertAlign val="superscript"/>
        <sz val="11"/>
        <rFont val="B Nazanin"/>
        <charset val="178"/>
      </rPr>
      <t>(کیلوگرم)</t>
    </r>
  </si>
  <si>
    <r>
      <t xml:space="preserve">میزان کل تولید  </t>
    </r>
    <r>
      <rPr>
        <sz val="8"/>
        <rFont val="A  Mitra_1 (MRT)"/>
        <charset val="178"/>
      </rPr>
      <t>(Kg)</t>
    </r>
  </si>
  <si>
    <t>تولید</t>
  </si>
  <si>
    <r>
      <rPr>
        <sz val="12"/>
        <rFont val="A  Mitra_1 (MRT)"/>
        <charset val="178"/>
      </rPr>
      <t xml:space="preserve">میزان کل ذوب ساخته شده  </t>
    </r>
    <r>
      <rPr>
        <sz val="8"/>
        <rFont val="A  Mitra_1 (MRT)"/>
        <charset val="178"/>
      </rPr>
      <t>(Kg)</t>
    </r>
  </si>
  <si>
    <t>A</t>
  </si>
  <si>
    <t>B</t>
  </si>
  <si>
    <t>C</t>
  </si>
  <si>
    <t>شرح</t>
  </si>
  <si>
    <t>شیفت</t>
  </si>
  <si>
    <t>مجموع</t>
  </si>
  <si>
    <r>
      <t>متوسط زمان ریخته گری</t>
    </r>
    <r>
      <rPr>
        <sz val="6"/>
        <rFont val="A  Mitra_1 (MRT)"/>
        <charset val="178"/>
      </rPr>
      <t xml:space="preserve"> (ساعت)</t>
    </r>
  </si>
  <si>
    <r>
      <t xml:space="preserve">مدت زمان ریخته گری </t>
    </r>
    <r>
      <rPr>
        <sz val="6"/>
        <rFont val="A  Mitra_1 (MRT)"/>
        <charset val="178"/>
      </rPr>
      <t>(ساعت)</t>
    </r>
  </si>
  <si>
    <t>تعداد روز کاری</t>
  </si>
  <si>
    <r>
      <rPr>
        <sz val="12"/>
        <rFont val="A  Mitra_1 (MRT)"/>
        <charset val="178"/>
      </rPr>
      <t>میانگین تولید روزانه شیفت</t>
    </r>
    <r>
      <rPr>
        <b/>
        <sz val="12"/>
        <rFont val="A  Mitra_1 (MRT)"/>
        <charset val="178"/>
      </rPr>
      <t xml:space="preserve">  </t>
    </r>
    <r>
      <rPr>
        <b/>
        <vertAlign val="superscript"/>
        <sz val="12"/>
        <rFont val="A  Mitra_1 (MRT)"/>
        <charset val="178"/>
      </rPr>
      <t>(Kg</t>
    </r>
    <r>
      <rPr>
        <b/>
        <sz val="12"/>
        <rFont val="A  Mitra_1 (MRT)"/>
        <charset val="178"/>
      </rPr>
      <t xml:space="preserve"> </t>
    </r>
    <r>
      <rPr>
        <b/>
        <vertAlign val="superscript"/>
        <sz val="12"/>
        <rFont val="A  Mitra_1 (MRT)"/>
        <charset val="178"/>
      </rPr>
      <t>)</t>
    </r>
  </si>
  <si>
    <r>
      <t xml:space="preserve">توقفات سایر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</si>
  <si>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خلاصه عملکرد خرداد ماه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</si>
</sst>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[h]:mm"/>
    <numFmt numFmtId="166" formatCode="h:mm;@"/>
  </numFmts>
  <fonts count="1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  Mitra_1 (MRT)"/>
      <charset val="178"/>
    </font>
    <font>
      <b/>
      <sz val="12"/>
      <name val="A  Mitra_1 (MRT)"/>
      <charset val="178"/>
    </font>
    <font>
      <sz val="12"/>
      <color rgb="FF000000"/>
      <name val="A  Mitra_1 (MRT)"/>
      <charset val="178"/>
    </font>
    <font>
      <sz val="12"/>
      <name val="A  Mitra_1 (MRT)"/>
      <charset val="178"/>
    </font>
    <font>
      <vertAlign val="superscript"/>
      <sz val="12"/>
      <name val="A  Mitra_1 (MRT)"/>
      <charset val="178"/>
    </font>
    <font>
      <sz val="8"/>
      <name val="A  Mitra_1 (MRT)"/>
      <charset val="178"/>
    </font>
    <font>
      <sz val="11"/>
      <name val="A  Mitra_1 (MRT)"/>
      <charset val="178"/>
    </font>
    <font>
      <sz val="6"/>
      <name val="A  Mitra_1 (MRT)"/>
      <charset val="178"/>
    </font>
    <font>
      <b/>
      <sz val="11"/>
      <name val="B Nazanin"/>
      <charset val="178"/>
    </font>
    <font>
      <sz val="8"/>
      <name val="B Nazanin"/>
      <charset val="178"/>
    </font>
    <font>
      <b/>
      <vertAlign val="superscript"/>
      <sz val="12"/>
      <name val="A  Mitra_1 (MRT)"/>
      <charset val="178"/>
    </font>
    <font>
      <sz val="10"/>
      <name val="A  Mitra_1 (MRT)"/>
      <charset val="178"/>
    </font>
    <font>
      <sz val="9"/>
      <name val="A  Mitra_1 (MRT)"/>
      <charset val="178"/>
    </font>
    <font>
      <b/>
      <vertAlign val="superscript"/>
      <sz val="11"/>
      <name val="B Nazanin"/>
      <charset val="178"/>
    </font>
    <font>
      <sz val="16"/>
      <name val="B Titr"/>
      <charset val="178"/>
    </font>
    <font>
      <b/>
      <sz val="14"/>
      <color rgb="FF000000"/>
      <name val="B Nazanin"/>
      <charset val="178"/>
    </font>
    <font>
      <b/>
      <sz val="14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1F1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" fontId="4" fillId="0" borderId="2" xfId="1" applyNumberFormat="1" applyFont="1" applyBorder="1" applyAlignment="1">
      <alignment horizontal="center" vertical="top" shrinkToFit="1"/>
    </xf>
    <xf numFmtId="0" fontId="5" fillId="3" borderId="2" xfId="1" applyFont="1" applyFill="1" applyBorder="1" applyAlignment="1">
      <alignment horizontal="right" vertical="center" wrapText="1" readingOrder="2"/>
    </xf>
    <xf numFmtId="20" fontId="2" fillId="0" borderId="0" xfId="1" applyNumberFormat="1" applyFont="1" applyAlignment="1">
      <alignment horizontal="left" vertical="top"/>
    </xf>
    <xf numFmtId="0" fontId="5" fillId="3" borderId="5" xfId="1" applyFont="1" applyFill="1" applyBorder="1" applyAlignment="1">
      <alignment horizontal="right" vertical="center" wrapText="1" readingOrder="2"/>
    </xf>
    <xf numFmtId="0" fontId="5" fillId="3" borderId="7" xfId="1" applyFont="1" applyFill="1" applyBorder="1" applyAlignment="1">
      <alignment horizontal="right" vertical="center" wrapText="1" readingOrder="2"/>
    </xf>
    <xf numFmtId="0" fontId="5" fillId="3" borderId="11" xfId="1" applyFont="1" applyFill="1" applyBorder="1" applyAlignment="1">
      <alignment horizontal="right" vertical="center" wrapText="1" readingOrder="2"/>
    </xf>
    <xf numFmtId="0" fontId="5" fillId="3" borderId="8" xfId="1" applyFont="1" applyFill="1" applyBorder="1" applyAlignment="1">
      <alignment horizontal="right" vertical="center" wrapText="1" readingOrder="2"/>
    </xf>
    <xf numFmtId="0" fontId="5" fillId="3" borderId="12" xfId="1" applyFont="1" applyFill="1" applyBorder="1" applyAlignment="1">
      <alignment horizontal="right" vertical="center" wrapText="1" readingOrder="2"/>
    </xf>
    <xf numFmtId="0" fontId="2" fillId="3" borderId="16" xfId="1" applyFont="1" applyFill="1" applyBorder="1" applyAlignment="1">
      <alignment horizontal="right" vertical="center" wrapText="1" readingOrder="2"/>
    </xf>
    <xf numFmtId="0" fontId="2" fillId="3" borderId="2" xfId="1" applyFont="1" applyFill="1" applyBorder="1" applyAlignment="1">
      <alignment horizontal="right" vertical="center" wrapText="1" readingOrder="2"/>
    </xf>
    <xf numFmtId="0" fontId="13" fillId="3" borderId="2" xfId="1" applyFont="1" applyFill="1" applyBorder="1" applyAlignment="1">
      <alignment horizontal="right" vertical="center" wrapText="1" readingOrder="2"/>
    </xf>
    <xf numFmtId="0" fontId="10" fillId="5" borderId="8" xfId="0" applyFont="1" applyFill="1" applyBorder="1" applyAlignment="1">
      <alignment vertical="center" readingOrder="1"/>
    </xf>
    <xf numFmtId="0" fontId="3" fillId="2" borderId="2" xfId="1" applyFont="1" applyFill="1" applyBorder="1" applyAlignment="1">
      <alignment horizontal="right" vertical="top" wrapText="1" indent="2" readingOrder="2"/>
    </xf>
    <xf numFmtId="0" fontId="5" fillId="5" borderId="15" xfId="0" applyFont="1" applyFill="1" applyBorder="1" applyAlignment="1">
      <alignment horizontal="right" vertical="center" wrapText="1" readingOrder="2"/>
    </xf>
    <xf numFmtId="0" fontId="5" fillId="5" borderId="7" xfId="0" applyFont="1" applyFill="1" applyBorder="1" applyAlignment="1">
      <alignment horizontal="right" vertical="center" wrapText="1" readingOrder="2"/>
    </xf>
    <xf numFmtId="3" fontId="17" fillId="4" borderId="2" xfId="1" applyNumberFormat="1" applyFont="1" applyFill="1" applyBorder="1" applyAlignment="1">
      <alignment horizontal="center" vertical="center" shrinkToFit="1"/>
    </xf>
    <xf numFmtId="10" fontId="17" fillId="4" borderId="2" xfId="1" applyNumberFormat="1" applyFont="1" applyFill="1" applyBorder="1" applyAlignment="1">
      <alignment horizontal="center" vertical="center" shrinkToFit="1"/>
    </xf>
    <xf numFmtId="1" fontId="17" fillId="4" borderId="2" xfId="1" applyNumberFormat="1" applyFont="1" applyFill="1" applyBorder="1" applyAlignment="1">
      <alignment horizontal="center" vertical="center" shrinkToFit="1"/>
    </xf>
    <xf numFmtId="166" fontId="18" fillId="4" borderId="2" xfId="1" applyNumberFormat="1" applyFont="1" applyFill="1" applyBorder="1" applyAlignment="1">
      <alignment horizontal="center" vertical="center" wrapText="1"/>
    </xf>
    <xf numFmtId="164" fontId="17" fillId="4" borderId="2" xfId="1" applyNumberFormat="1" applyFont="1" applyFill="1" applyBorder="1" applyAlignment="1">
      <alignment horizontal="center" vertical="center" shrinkToFit="1"/>
    </xf>
    <xf numFmtId="4" fontId="17" fillId="4" borderId="2" xfId="1" applyNumberFormat="1" applyFont="1" applyFill="1" applyBorder="1" applyAlignment="1">
      <alignment horizontal="center" vertical="center" shrinkToFit="1"/>
    </xf>
    <xf numFmtId="2" fontId="17" fillId="4" borderId="2" xfId="1" applyNumberFormat="1" applyFont="1" applyFill="1" applyBorder="1" applyAlignment="1">
      <alignment horizontal="center" vertical="center" shrinkToFit="1"/>
    </xf>
    <xf numFmtId="164" fontId="17" fillId="4" borderId="14" xfId="1" applyNumberFormat="1" applyFont="1" applyFill="1" applyBorder="1" applyAlignment="1">
      <alignment horizontal="center" vertical="center" shrinkToFit="1"/>
    </xf>
    <xf numFmtId="3" fontId="17" fillId="4" borderId="5" xfId="1" applyNumberFormat="1" applyFont="1" applyFill="1" applyBorder="1" applyAlignment="1">
      <alignment horizontal="center" vertical="center" shrinkToFit="1"/>
    </xf>
    <xf numFmtId="164" fontId="18" fillId="4" borderId="2" xfId="1" applyNumberFormat="1" applyFont="1" applyFill="1" applyBorder="1" applyAlignment="1">
      <alignment horizontal="center" vertical="center" wrapText="1"/>
    </xf>
    <xf numFmtId="3" fontId="17" fillId="4" borderId="2" xfId="0" applyNumberFormat="1" applyFont="1" applyFill="1" applyBorder="1" applyAlignment="1">
      <alignment horizontal="center" vertical="center" shrinkToFit="1"/>
    </xf>
    <xf numFmtId="10" fontId="17" fillId="4" borderId="2" xfId="0" applyNumberFormat="1" applyFont="1" applyFill="1" applyBorder="1" applyAlignment="1">
      <alignment horizontal="center" vertical="center" shrinkToFit="1"/>
    </xf>
    <xf numFmtId="1" fontId="17" fillId="4" borderId="2" xfId="0" applyNumberFormat="1" applyFont="1" applyFill="1" applyBorder="1" applyAlignment="1">
      <alignment horizontal="center" vertical="center" shrinkToFit="1"/>
    </xf>
    <xf numFmtId="20" fontId="18" fillId="4" borderId="2" xfId="1" applyNumberFormat="1" applyFont="1" applyFill="1" applyBorder="1" applyAlignment="1">
      <alignment horizontal="center" vertical="center" wrapText="1"/>
    </xf>
    <xf numFmtId="20" fontId="18" fillId="4" borderId="2" xfId="0" applyNumberFormat="1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shrinkToFit="1"/>
    </xf>
    <xf numFmtId="4" fontId="17" fillId="4" borderId="2" xfId="0" applyNumberFormat="1" applyFont="1" applyFill="1" applyBorder="1" applyAlignment="1">
      <alignment horizontal="center" vertical="center" shrinkToFit="1"/>
    </xf>
    <xf numFmtId="164" fontId="17" fillId="4" borderId="8" xfId="0" applyNumberFormat="1" applyFont="1" applyFill="1" applyBorder="1" applyAlignment="1">
      <alignment horizontal="center" vertical="center" shrinkToFit="1"/>
    </xf>
    <xf numFmtId="164" fontId="17" fillId="4" borderId="14" xfId="0" applyNumberFormat="1" applyFont="1" applyFill="1" applyBorder="1" applyAlignment="1">
      <alignment horizontal="center" vertical="center" shrinkToFit="1"/>
    </xf>
    <xf numFmtId="164" fontId="17" fillId="4" borderId="13" xfId="0" applyNumberFormat="1" applyFont="1" applyFill="1" applyBorder="1" applyAlignment="1">
      <alignment horizontal="center" vertical="center" shrinkToFit="1"/>
    </xf>
    <xf numFmtId="3" fontId="17" fillId="4" borderId="5" xfId="0" applyNumberFormat="1" applyFont="1" applyFill="1" applyBorder="1" applyAlignment="1">
      <alignment horizontal="center" vertical="center" shrinkToFit="1"/>
    </xf>
    <xf numFmtId="3" fontId="17" fillId="4" borderId="8" xfId="0" applyNumberFormat="1" applyFont="1" applyFill="1" applyBorder="1" applyAlignment="1">
      <alignment horizontal="center" vertical="center" shrinkToFit="1"/>
    </xf>
    <xf numFmtId="10" fontId="17" fillId="4" borderId="8" xfId="0" applyNumberFormat="1" applyFont="1" applyFill="1" applyBorder="1" applyAlignment="1">
      <alignment horizontal="center" vertical="center" shrinkToFit="1"/>
    </xf>
    <xf numFmtId="166" fontId="17" fillId="4" borderId="2" xfId="1" applyNumberFormat="1" applyFont="1" applyFill="1" applyBorder="1" applyAlignment="1">
      <alignment horizontal="center" vertical="center" shrinkToFit="1"/>
    </xf>
    <xf numFmtId="166" fontId="17" fillId="4" borderId="2" xfId="0" applyNumberFormat="1" applyFont="1" applyFill="1" applyBorder="1" applyAlignment="1">
      <alignment horizontal="center" vertical="center" shrinkToFit="1"/>
    </xf>
    <xf numFmtId="165" fontId="18" fillId="4" borderId="2" xfId="0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textRotation="90" wrapText="1" readingOrder="2"/>
    </xf>
    <xf numFmtId="0" fontId="3" fillId="2" borderId="9" xfId="1" applyFont="1" applyFill="1" applyBorder="1" applyAlignment="1">
      <alignment horizontal="center" vertical="center" textRotation="90" wrapText="1" readingOrder="2"/>
    </xf>
    <xf numFmtId="0" fontId="3" fillId="2" borderId="6" xfId="1" applyFont="1" applyFill="1" applyBorder="1" applyAlignment="1">
      <alignment horizontal="center" vertical="center" textRotation="90" wrapText="1" readingOrder="2"/>
    </xf>
    <xf numFmtId="0" fontId="3" fillId="2" borderId="4" xfId="1" applyFont="1" applyFill="1" applyBorder="1" applyAlignment="1">
      <alignment horizontal="center" vertical="center" textRotation="90" wrapText="1" readingOrder="2"/>
    </xf>
    <xf numFmtId="0" fontId="3" fillId="2" borderId="3" xfId="1" applyFont="1" applyFill="1" applyBorder="1" applyAlignment="1">
      <alignment horizontal="center" vertical="center" textRotation="90" wrapText="1" readingOrder="2"/>
    </xf>
    <xf numFmtId="0" fontId="3" fillId="2" borderId="1" xfId="1" applyFont="1" applyFill="1" applyBorder="1" applyAlignment="1">
      <alignment horizontal="center" vertical="center" textRotation="90" wrapText="1" readingOrder="2"/>
    </xf>
    <xf numFmtId="0" fontId="16" fillId="2" borderId="8" xfId="1" applyFont="1" applyFill="1" applyBorder="1" applyAlignment="1">
      <alignment horizontal="center" vertical="center" wrapText="1" readingOrder="2"/>
    </xf>
    <xf numFmtId="0" fontId="16" fillId="2" borderId="20" xfId="1" applyFont="1" applyFill="1" applyBorder="1" applyAlignment="1">
      <alignment horizontal="center" vertical="center" wrapText="1" readingOrder="2"/>
    </xf>
    <xf numFmtId="0" fontId="16" fillId="2" borderId="19" xfId="1" applyFont="1" applyFill="1" applyBorder="1" applyAlignment="1">
      <alignment horizontal="center" vertical="center" wrapText="1" readingOrder="2"/>
    </xf>
    <xf numFmtId="0" fontId="3" fillId="2" borderId="16" xfId="1" applyFont="1" applyFill="1" applyBorder="1" applyAlignment="1">
      <alignment horizontal="center" vertical="center" wrapText="1" readingOrder="2"/>
    </xf>
    <xf numFmtId="0" fontId="3" fillId="2" borderId="5" xfId="1" applyFont="1" applyFill="1" applyBorder="1" applyAlignment="1">
      <alignment horizontal="center" vertical="center" wrapText="1" readingOrder="2"/>
    </xf>
    <xf numFmtId="0" fontId="3" fillId="2" borderId="11" xfId="1" applyFont="1" applyFill="1" applyBorder="1" applyAlignment="1">
      <alignment horizontal="center" vertical="center" wrapText="1" readingOrder="2"/>
    </xf>
    <xf numFmtId="0" fontId="3" fillId="2" borderId="18" xfId="1" applyFont="1" applyFill="1" applyBorder="1" applyAlignment="1">
      <alignment horizontal="center" vertical="center" wrapText="1" readingOrder="2"/>
    </xf>
    <xf numFmtId="0" fontId="3" fillId="2" borderId="12" xfId="1" applyFont="1" applyFill="1" applyBorder="1" applyAlignment="1">
      <alignment horizontal="center" vertical="center" wrapText="1" readingOrder="2"/>
    </xf>
    <xf numFmtId="0" fontId="3" fillId="2" borderId="17" xfId="1" applyFont="1" applyFill="1" applyBorder="1" applyAlignment="1">
      <alignment horizontal="center" vertical="center" wrapText="1" readingOrder="2"/>
    </xf>
    <xf numFmtId="0" fontId="2" fillId="2" borderId="16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center" vertical="center" textRotation="90" wrapText="1" readingOrder="2"/>
    </xf>
    <xf numFmtId="0" fontId="3" fillId="8" borderId="2" xfId="1" applyFont="1" applyFill="1" applyBorder="1" applyAlignment="1">
      <alignment horizontal="center" vertical="top" wrapText="1"/>
    </xf>
    <xf numFmtId="0" fontId="3" fillId="7" borderId="2" xfId="1" applyFont="1" applyFill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45FAD8F2-8363-42B0-9E7F-EB57B181F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F27C-AB5E-4A14-88C6-EE3D98E30C39}">
  <dimension ref="A1:K47"/>
  <sheetViews>
    <sheetView tabSelected="1" topLeftCell="A22" zoomScale="115" zoomScaleNormal="115" workbookViewId="0">
      <selection activeCell="D16" sqref="D16"/>
    </sheetView>
  </sheetViews>
  <sheetFormatPr defaultRowHeight="15.75" x14ac:dyDescent="0.25"/>
  <cols>
    <col min="1" max="1" width="15.7109375" style="1" customWidth="1"/>
    <col min="2" max="2" width="11.7109375" style="1" customWidth="1"/>
    <col min="3" max="3" width="11.42578125" style="1" customWidth="1"/>
    <col min="4" max="4" width="11.140625" style="1" customWidth="1"/>
    <col min="5" max="5" width="34.140625" style="1" customWidth="1"/>
    <col min="6" max="6" width="6.140625" style="1" customWidth="1"/>
    <col min="7" max="7" width="7.5703125" style="1" customWidth="1"/>
    <col min="8" max="16384" width="9.140625" style="1"/>
  </cols>
  <sheetData>
    <row r="1" spans="1:7" ht="26.25" customHeight="1" x14ac:dyDescent="0.25">
      <c r="A1" s="50" t="s">
        <v>41</v>
      </c>
      <c r="B1" s="51"/>
      <c r="C1" s="51"/>
      <c r="D1" s="51"/>
      <c r="E1" s="51"/>
      <c r="F1" s="51"/>
      <c r="G1" s="52"/>
    </row>
    <row r="2" spans="1:7" ht="18" customHeight="1" x14ac:dyDescent="0.25">
      <c r="A2" s="53" t="s">
        <v>35</v>
      </c>
      <c r="B2" s="15" t="s">
        <v>34</v>
      </c>
      <c r="C2" s="15" t="s">
        <v>34</v>
      </c>
      <c r="D2" s="15" t="s">
        <v>34</v>
      </c>
      <c r="E2" s="55" t="s">
        <v>33</v>
      </c>
      <c r="F2" s="56"/>
      <c r="G2" s="59"/>
    </row>
    <row r="3" spans="1:7" ht="16.5" customHeight="1" x14ac:dyDescent="0.25">
      <c r="A3" s="54"/>
      <c r="B3" s="62" t="s">
        <v>32</v>
      </c>
      <c r="C3" s="63" t="s">
        <v>31</v>
      </c>
      <c r="D3" s="64" t="s">
        <v>30</v>
      </c>
      <c r="E3" s="57"/>
      <c r="F3" s="58"/>
      <c r="G3" s="60"/>
    </row>
    <row r="4" spans="1:7" ht="24.75" customHeight="1" x14ac:dyDescent="0.25">
      <c r="A4" s="18">
        <f>SUM(B4:D4)</f>
        <v>2587600</v>
      </c>
      <c r="B4" s="18">
        <v>733800</v>
      </c>
      <c r="C4" s="28">
        <v>842075</v>
      </c>
      <c r="D4" s="28">
        <v>1011725</v>
      </c>
      <c r="E4" s="13" t="s">
        <v>29</v>
      </c>
      <c r="F4" s="3">
        <v>1</v>
      </c>
      <c r="G4" s="61" t="s">
        <v>28</v>
      </c>
    </row>
    <row r="5" spans="1:7" ht="23.25" customHeight="1" x14ac:dyDescent="0.25">
      <c r="A5" s="18">
        <f>SUM(B5:D5)</f>
        <v>2554400</v>
      </c>
      <c r="B5" s="18">
        <v>716100</v>
      </c>
      <c r="C5" s="28">
        <v>832075</v>
      </c>
      <c r="D5" s="28">
        <v>1006225</v>
      </c>
      <c r="E5" s="4" t="s">
        <v>27</v>
      </c>
      <c r="F5" s="3">
        <v>2</v>
      </c>
      <c r="G5" s="48"/>
    </row>
    <row r="6" spans="1:7" ht="23.25" customHeight="1" x14ac:dyDescent="0.25">
      <c r="A6" s="18">
        <f>SUM(B6:D6)</f>
        <v>33200</v>
      </c>
      <c r="B6" s="18">
        <v>17700</v>
      </c>
      <c r="C6" s="28">
        <v>10000</v>
      </c>
      <c r="D6" s="28">
        <v>5500</v>
      </c>
      <c r="E6" s="14" t="s">
        <v>26</v>
      </c>
      <c r="F6" s="3">
        <v>3</v>
      </c>
      <c r="G6" s="48"/>
    </row>
    <row r="7" spans="1:7" ht="23.25" customHeight="1" x14ac:dyDescent="0.25">
      <c r="A7" s="19">
        <f>AVERAGE(B7:D7)</f>
        <v>1.3800000000000002E-2</v>
      </c>
      <c r="B7" s="19">
        <v>2.41E-2</v>
      </c>
      <c r="C7" s="29">
        <v>1.1900000000000001E-2</v>
      </c>
      <c r="D7" s="29">
        <v>5.4000000000000003E-3</v>
      </c>
      <c r="E7" s="14" t="s">
        <v>25</v>
      </c>
      <c r="F7" s="3">
        <v>4</v>
      </c>
      <c r="G7" s="48"/>
    </row>
    <row r="8" spans="1:7" ht="23.25" customHeight="1" x14ac:dyDescent="0.25">
      <c r="A8" s="20">
        <v>29</v>
      </c>
      <c r="B8" s="19" t="s">
        <v>15</v>
      </c>
      <c r="C8" s="29" t="s">
        <v>15</v>
      </c>
      <c r="D8" s="29" t="s">
        <v>15</v>
      </c>
      <c r="E8" s="4" t="s">
        <v>38</v>
      </c>
      <c r="F8" s="3">
        <v>5</v>
      </c>
      <c r="G8" s="48"/>
    </row>
    <row r="9" spans="1:7" ht="24.75" customHeight="1" x14ac:dyDescent="0.25">
      <c r="A9" s="18">
        <f>SUM(B9:D9)</f>
        <v>55</v>
      </c>
      <c r="B9" s="18">
        <v>18</v>
      </c>
      <c r="C9" s="28">
        <v>18</v>
      </c>
      <c r="D9" s="28">
        <v>19</v>
      </c>
      <c r="E9" s="4" t="s">
        <v>24</v>
      </c>
      <c r="F9" s="3">
        <v>6</v>
      </c>
      <c r="G9" s="48"/>
    </row>
    <row r="10" spans="1:7" ht="24.75" customHeight="1" x14ac:dyDescent="0.25">
      <c r="A10" s="20">
        <f>SUM(B10:D10)</f>
        <v>109</v>
      </c>
      <c r="B10" s="20">
        <v>30</v>
      </c>
      <c r="C10" s="30">
        <v>38</v>
      </c>
      <c r="D10" s="30">
        <v>41</v>
      </c>
      <c r="E10" s="4" t="s">
        <v>23</v>
      </c>
      <c r="F10" s="3">
        <v>7</v>
      </c>
      <c r="G10" s="48"/>
    </row>
    <row r="11" spans="1:7" ht="24.75" customHeight="1" x14ac:dyDescent="0.25">
      <c r="A11" s="20">
        <f>SUM(B11:D11)</f>
        <v>4</v>
      </c>
      <c r="B11" s="20">
        <v>2</v>
      </c>
      <c r="C11" s="30">
        <v>2</v>
      </c>
      <c r="D11" s="30">
        <v>0</v>
      </c>
      <c r="E11" s="4" t="s">
        <v>22</v>
      </c>
      <c r="F11" s="3">
        <v>8</v>
      </c>
      <c r="G11" s="48"/>
    </row>
    <row r="12" spans="1:7" ht="24.75" customHeight="1" x14ac:dyDescent="0.25">
      <c r="A12" s="20">
        <f>SUM(B12:D12)</f>
        <v>7</v>
      </c>
      <c r="B12" s="20">
        <v>3</v>
      </c>
      <c r="C12" s="30">
        <v>3</v>
      </c>
      <c r="D12" s="30">
        <v>1</v>
      </c>
      <c r="E12" s="4" t="s">
        <v>21</v>
      </c>
      <c r="F12" s="3">
        <v>9</v>
      </c>
      <c r="G12" s="48"/>
    </row>
    <row r="13" spans="1:7" ht="25.5" customHeight="1" x14ac:dyDescent="0.25">
      <c r="A13" s="21">
        <f>AVERAGE(B13:D13)</f>
        <v>0.22199074074074077</v>
      </c>
      <c r="B13" s="31">
        <v>0.24166666666666667</v>
      </c>
      <c r="C13" s="32">
        <v>0.21597222222222223</v>
      </c>
      <c r="D13" s="32">
        <v>0.20833333333333334</v>
      </c>
      <c r="E13" s="4" t="s">
        <v>20</v>
      </c>
      <c r="F13" s="3">
        <v>10</v>
      </c>
      <c r="G13" s="48"/>
    </row>
    <row r="14" spans="1:7" ht="24.75" customHeight="1" x14ac:dyDescent="0.25">
      <c r="A14" s="22">
        <f>SUM(B14:D14)</f>
        <v>23.043055555555554</v>
      </c>
      <c r="B14" s="22">
        <v>6.895833333333333</v>
      </c>
      <c r="C14" s="33">
        <v>7.6930555555555555</v>
      </c>
      <c r="D14" s="33">
        <v>8.4541666666666675</v>
      </c>
      <c r="E14" s="4" t="s">
        <v>19</v>
      </c>
      <c r="F14" s="3">
        <v>11</v>
      </c>
      <c r="G14" s="48"/>
    </row>
    <row r="15" spans="1:7" ht="24.75" customHeight="1" x14ac:dyDescent="0.25">
      <c r="A15" s="23">
        <f>AVERAGE(B15:D15)</f>
        <v>77.683333333333337</v>
      </c>
      <c r="B15" s="23">
        <v>73.900000000000006</v>
      </c>
      <c r="C15" s="34">
        <v>76.040000000000006</v>
      </c>
      <c r="D15" s="34">
        <v>83.11</v>
      </c>
      <c r="E15" s="13" t="s">
        <v>18</v>
      </c>
      <c r="F15" s="3">
        <v>12</v>
      </c>
      <c r="G15" s="48"/>
    </row>
    <row r="16" spans="1:7" ht="23.25" customHeight="1" x14ac:dyDescent="0.25">
      <c r="A16" s="24">
        <f>AVERAGE(B16:D16)</f>
        <v>84.673333333333332</v>
      </c>
      <c r="B16" s="23">
        <v>74.05</v>
      </c>
      <c r="C16" s="34">
        <v>91.45</v>
      </c>
      <c r="D16" s="34">
        <v>88.52</v>
      </c>
      <c r="E16" s="13" t="s">
        <v>17</v>
      </c>
      <c r="F16" s="3">
        <v>13</v>
      </c>
      <c r="G16" s="48"/>
    </row>
    <row r="17" spans="1:11" ht="25.5" customHeight="1" x14ac:dyDescent="0.25">
      <c r="A17" s="18">
        <f>AVERAGE(B17:D17)</f>
        <v>46932.666666666664</v>
      </c>
      <c r="B17" s="18">
        <v>40767</v>
      </c>
      <c r="C17" s="28">
        <v>46782</v>
      </c>
      <c r="D17" s="28">
        <v>53249</v>
      </c>
      <c r="E17" s="4" t="s">
        <v>39</v>
      </c>
      <c r="F17" s="3">
        <v>14</v>
      </c>
      <c r="G17" s="48"/>
    </row>
    <row r="18" spans="1:11" ht="24" customHeight="1" x14ac:dyDescent="0.25">
      <c r="A18" s="18" t="s">
        <v>15</v>
      </c>
      <c r="B18" s="18">
        <v>21875</v>
      </c>
      <c r="C18" s="28">
        <v>21500</v>
      </c>
      <c r="D18" s="28">
        <v>10000</v>
      </c>
      <c r="E18" s="12" t="s">
        <v>16</v>
      </c>
      <c r="F18" s="3">
        <v>15</v>
      </c>
      <c r="G18" s="48"/>
    </row>
    <row r="19" spans="1:11" ht="24" customHeight="1" x14ac:dyDescent="0.25">
      <c r="A19" s="18" t="s">
        <v>15</v>
      </c>
      <c r="B19" s="18">
        <v>71050</v>
      </c>
      <c r="C19" s="28">
        <v>73500</v>
      </c>
      <c r="D19" s="28">
        <v>78850</v>
      </c>
      <c r="E19" s="11" t="s">
        <v>14</v>
      </c>
      <c r="F19" s="3">
        <v>16</v>
      </c>
      <c r="G19" s="48"/>
    </row>
    <row r="20" spans="1:11" ht="24.75" customHeight="1" x14ac:dyDescent="0.25">
      <c r="A20" s="22">
        <f>SUM(B20:D20)</f>
        <v>3.6430555555555557</v>
      </c>
      <c r="B20" s="22">
        <v>1.0562500000000001</v>
      </c>
      <c r="C20" s="33">
        <v>1.1937499999999999</v>
      </c>
      <c r="D20" s="35">
        <v>1.3930555555555555</v>
      </c>
      <c r="E20" s="16" t="s">
        <v>37</v>
      </c>
      <c r="F20" s="3">
        <v>17</v>
      </c>
      <c r="G20" s="48"/>
    </row>
    <row r="21" spans="1:11" ht="24.75" customHeight="1" x14ac:dyDescent="0.25">
      <c r="A21" s="25">
        <f>AVERAGE(B21:D21)</f>
        <v>6.8287037037037035E-2</v>
      </c>
      <c r="B21" s="25">
        <v>6.1805555555555558E-2</v>
      </c>
      <c r="C21" s="36">
        <v>6.5972222222222224E-2</v>
      </c>
      <c r="D21" s="37">
        <v>7.7083333333333337E-2</v>
      </c>
      <c r="E21" s="17" t="s">
        <v>36</v>
      </c>
      <c r="F21" s="3">
        <v>18</v>
      </c>
      <c r="G21" s="49"/>
    </row>
    <row r="22" spans="1:11" ht="24" customHeight="1" x14ac:dyDescent="0.25">
      <c r="A22" s="26">
        <f>SUM(B22:D22)</f>
        <v>30460</v>
      </c>
      <c r="B22" s="26">
        <v>8925</v>
      </c>
      <c r="C22" s="38">
        <v>9595</v>
      </c>
      <c r="D22" s="38">
        <v>11940</v>
      </c>
      <c r="E22" s="10" t="s">
        <v>13</v>
      </c>
      <c r="F22" s="3">
        <v>19</v>
      </c>
      <c r="G22" s="45" t="s">
        <v>12</v>
      </c>
    </row>
    <row r="23" spans="1:11" ht="25.5" customHeight="1" x14ac:dyDescent="0.25">
      <c r="A23" s="18">
        <f>SUM(B23:D23)</f>
        <v>1637</v>
      </c>
      <c r="B23" s="18">
        <v>430</v>
      </c>
      <c r="C23" s="30">
        <v>454</v>
      </c>
      <c r="D23" s="30">
        <v>753</v>
      </c>
      <c r="E23" s="9" t="s">
        <v>11</v>
      </c>
      <c r="F23" s="3">
        <v>20</v>
      </c>
      <c r="G23" s="45"/>
    </row>
    <row r="24" spans="1:11" ht="25.5" customHeight="1" x14ac:dyDescent="0.25">
      <c r="A24" s="18">
        <f>SUM(B24:D24)</f>
        <v>1414</v>
      </c>
      <c r="B24" s="18">
        <v>613</v>
      </c>
      <c r="C24" s="28">
        <v>297</v>
      </c>
      <c r="D24" s="28">
        <v>504</v>
      </c>
      <c r="E24" s="9" t="s">
        <v>10</v>
      </c>
      <c r="F24" s="3">
        <v>21</v>
      </c>
      <c r="G24" s="45"/>
    </row>
    <row r="25" spans="1:11" ht="25.5" customHeight="1" x14ac:dyDescent="0.25">
      <c r="A25" s="19">
        <f>AVERAGE(B25:D25)</f>
        <v>0.9189666666666666</v>
      </c>
      <c r="B25" s="19">
        <v>0.93159999999999998</v>
      </c>
      <c r="C25" s="29">
        <v>0.9194</v>
      </c>
      <c r="D25" s="29">
        <v>0.90590000000000004</v>
      </c>
      <c r="E25" s="8" t="s">
        <v>9</v>
      </c>
      <c r="F25" s="3">
        <v>22</v>
      </c>
      <c r="G25" s="44" t="s">
        <v>8</v>
      </c>
    </row>
    <row r="26" spans="1:11" ht="25.5" customHeight="1" x14ac:dyDescent="0.25">
      <c r="A26" s="18">
        <f>SUM(B26:D26)</f>
        <v>1158</v>
      </c>
      <c r="B26" s="18">
        <v>327</v>
      </c>
      <c r="C26" s="28">
        <v>388</v>
      </c>
      <c r="D26" s="39">
        <v>443</v>
      </c>
      <c r="E26" s="7" t="s">
        <v>7</v>
      </c>
      <c r="F26" s="3">
        <v>23</v>
      </c>
      <c r="G26" s="45"/>
      <c r="K26" s="5"/>
    </row>
    <row r="27" spans="1:11" ht="25.5" customHeight="1" x14ac:dyDescent="0.25">
      <c r="A27" s="18">
        <f>SUM(B27:D27)</f>
        <v>103</v>
      </c>
      <c r="B27" s="18">
        <v>24</v>
      </c>
      <c r="C27" s="28">
        <v>34</v>
      </c>
      <c r="D27" s="39">
        <v>45</v>
      </c>
      <c r="E27" s="7" t="s">
        <v>6</v>
      </c>
      <c r="F27" s="3">
        <v>24</v>
      </c>
      <c r="G27" s="45"/>
      <c r="K27" s="5"/>
    </row>
    <row r="28" spans="1:11" ht="24" customHeight="1" x14ac:dyDescent="0.25">
      <c r="A28" s="19">
        <f>AVERAGE(B28:D28)</f>
        <v>8.1033333333333346E-2</v>
      </c>
      <c r="B28" s="19">
        <v>6.8400000000000002E-2</v>
      </c>
      <c r="C28" s="29">
        <v>8.0600000000000005E-2</v>
      </c>
      <c r="D28" s="40">
        <v>9.4100000000000003E-2</v>
      </c>
      <c r="E28" s="7" t="s">
        <v>5</v>
      </c>
      <c r="F28" s="3">
        <v>25</v>
      </c>
      <c r="G28" s="46"/>
      <c r="K28" s="5"/>
    </row>
    <row r="29" spans="1:11" ht="23.25" customHeight="1" x14ac:dyDescent="0.25">
      <c r="A29" s="22">
        <f>SUM(B29:D29)</f>
        <v>1.1868055555555554</v>
      </c>
      <c r="B29" s="41">
        <v>0.52430555555555558</v>
      </c>
      <c r="C29" s="42">
        <v>0.3972222222222222</v>
      </c>
      <c r="D29" s="32">
        <v>0.26527777777777778</v>
      </c>
      <c r="E29" s="6" t="s">
        <v>4</v>
      </c>
      <c r="F29" s="3">
        <v>26</v>
      </c>
      <c r="G29" s="47" t="s">
        <v>3</v>
      </c>
      <c r="K29" s="5"/>
    </row>
    <row r="30" spans="1:11" ht="26.25" customHeight="1" x14ac:dyDescent="0.25">
      <c r="A30" s="21">
        <f>SUM(B30:D30)</f>
        <v>0.49305555555555547</v>
      </c>
      <c r="B30" s="31">
        <v>0.23263888888888887</v>
      </c>
      <c r="C30" s="42">
        <v>3.125E-2</v>
      </c>
      <c r="D30" s="42">
        <v>0.22916666666666666</v>
      </c>
      <c r="E30" s="4" t="s">
        <v>2</v>
      </c>
      <c r="F30" s="3">
        <v>27</v>
      </c>
      <c r="G30" s="48"/>
    </row>
    <row r="31" spans="1:11" ht="26.25" customHeight="1" x14ac:dyDescent="0.25">
      <c r="A31" s="27">
        <f>SUM(B31:D31)</f>
        <v>1.7013888888888888</v>
      </c>
      <c r="B31" s="31">
        <v>0.43402777777777773</v>
      </c>
      <c r="C31" s="33">
        <v>1.0833333333333333</v>
      </c>
      <c r="D31" s="42">
        <v>0.18402777777777779</v>
      </c>
      <c r="E31" s="4" t="s">
        <v>40</v>
      </c>
      <c r="F31" s="3">
        <v>28</v>
      </c>
      <c r="G31" s="48"/>
    </row>
    <row r="32" spans="1:11" ht="25.5" customHeight="1" x14ac:dyDescent="0.25">
      <c r="A32" s="21">
        <f>SUM(B32:D32)</f>
        <v>0.63194444444444442</v>
      </c>
      <c r="B32" s="31">
        <v>0.20138888888888887</v>
      </c>
      <c r="C32" s="42">
        <v>0.20486111111111113</v>
      </c>
      <c r="D32" s="42">
        <v>0.22569444444444445</v>
      </c>
      <c r="E32" s="4" t="s">
        <v>1</v>
      </c>
      <c r="F32" s="3">
        <v>29</v>
      </c>
      <c r="G32" s="48"/>
    </row>
    <row r="33" spans="1:7" ht="24.75" customHeight="1" x14ac:dyDescent="0.25">
      <c r="A33" s="27">
        <f>SUM(A29:A30)</f>
        <v>1.6798611111111108</v>
      </c>
      <c r="B33" s="21">
        <f>SUM(B29:B30)</f>
        <v>0.75694444444444442</v>
      </c>
      <c r="C33" s="43">
        <f>SUM(C29:C30)</f>
        <v>0.4284722222222222</v>
      </c>
      <c r="D33" s="43">
        <f>SUM(D29:D30)</f>
        <v>0.49444444444444446</v>
      </c>
      <c r="E33" s="4" t="s">
        <v>0</v>
      </c>
      <c r="F33" s="3">
        <v>30</v>
      </c>
      <c r="G33" s="49"/>
    </row>
    <row r="34" spans="1:7" ht="19.5" customHeight="1" x14ac:dyDescent="0.25">
      <c r="D34" s="2"/>
    </row>
    <row r="35" spans="1:7" ht="19.5" customHeight="1" x14ac:dyDescent="0.25"/>
    <row r="36" spans="1:7" ht="19.5" customHeight="1" x14ac:dyDescent="0.25"/>
    <row r="37" spans="1:7" ht="19.5" customHeight="1" x14ac:dyDescent="0.25"/>
    <row r="38" spans="1:7" ht="19.5" customHeight="1" x14ac:dyDescent="0.25"/>
    <row r="39" spans="1:7" ht="19.5" customHeight="1" x14ac:dyDescent="0.25"/>
    <row r="40" spans="1:7" ht="19.5" customHeight="1" x14ac:dyDescent="0.25"/>
    <row r="41" spans="1:7" ht="19.5" customHeight="1" x14ac:dyDescent="0.25"/>
    <row r="42" spans="1:7" ht="19.5" customHeight="1" x14ac:dyDescent="0.25"/>
    <row r="43" spans="1:7" ht="19.5" customHeight="1" x14ac:dyDescent="0.25"/>
    <row r="44" spans="1:7" ht="19.5" customHeight="1" x14ac:dyDescent="0.25"/>
    <row r="45" spans="1:7" ht="19.5" customHeight="1" x14ac:dyDescent="0.25"/>
    <row r="46" spans="1:7" ht="19.5" customHeight="1" x14ac:dyDescent="0.25"/>
    <row r="47" spans="1:7" ht="19.5" customHeight="1" x14ac:dyDescent="0.25"/>
  </sheetData>
  <mergeCells count="8">
    <mergeCell ref="G25:G28"/>
    <mergeCell ref="G29:G33"/>
    <mergeCell ref="A1:G1"/>
    <mergeCell ref="A2:A3"/>
    <mergeCell ref="E2:F3"/>
    <mergeCell ref="G2:G3"/>
    <mergeCell ref="G4:G21"/>
    <mergeCell ref="G22:G24"/>
  </mergeCells>
  <printOptions horizontalCentered="1"/>
  <pageMargins left="0.25" right="0.25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 تفکیک شیفت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 Computer</dc:creator>
  <cp:lastModifiedBy>Kerman Computer</cp:lastModifiedBy>
  <cp:lastPrinted>2026-06-23T06:19:59Z</cp:lastPrinted>
  <dcterms:created xsi:type="dcterms:W3CDTF">2026-05-02T10:53:58Z</dcterms:created>
  <dcterms:modified xsi:type="dcterms:W3CDTF">2026-06-23T06:19:59Z</dcterms:modified>
</cp:coreProperties>
</file>