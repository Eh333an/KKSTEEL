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فرم های تولید\فرم های تولید 1405\اردیبهشت\"/>
    </mc:Choice>
  </mc:AlternateContent>
  <xr:revisionPtr revIDLastSave="0" documentId="13_ncr:1_{5C06DB61-43D3-4FCE-B372-E2888C632C92}" xr6:coauthVersionLast="47" xr6:coauthVersionMax="47" xr10:uidLastSave="{00000000-0000-0000-0000-000000000000}"/>
  <bookViews>
    <workbookView xWindow="-120" yWindow="-120" windowWidth="24240" windowHeight="13140" activeTab="1" xr2:uid="{2B528CEE-D148-4A01-87C2-09DB8A1F1B16}"/>
  </bookViews>
  <sheets>
    <sheet name="30" sheetId="2" r:id="rId1"/>
    <sheet name="به تفکیک شیفت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2" l="1"/>
  <c r="F20" i="2"/>
  <c r="A8" i="2"/>
  <c r="F8" i="2"/>
  <c r="A32" i="2"/>
  <c r="A31" i="2"/>
  <c r="A33" i="2"/>
  <c r="A34" i="2"/>
  <c r="F17" i="2" l="1"/>
  <c r="A17" i="2"/>
  <c r="F34" i="2"/>
  <c r="F33" i="2"/>
  <c r="F32" i="2"/>
  <c r="F31" i="2"/>
  <c r="F30" i="2"/>
  <c r="A30" i="2"/>
  <c r="F29" i="2"/>
  <c r="A29" i="2"/>
  <c r="F28" i="2"/>
  <c r="A28" i="2"/>
  <c r="F27" i="2"/>
  <c r="A27" i="2"/>
  <c r="A26" i="2"/>
  <c r="F25" i="2"/>
  <c r="A25" i="2"/>
  <c r="F24" i="2"/>
  <c r="A24" i="2"/>
  <c r="F23" i="2"/>
  <c r="A23" i="2"/>
  <c r="F22" i="2"/>
  <c r="A22" i="2"/>
  <c r="F21" i="2"/>
  <c r="A21" i="2"/>
  <c r="A19" i="2"/>
  <c r="F18" i="2"/>
  <c r="A18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7" i="2"/>
  <c r="A7" i="2"/>
  <c r="F6" i="2"/>
  <c r="A6" i="2"/>
  <c r="B32" i="1"/>
  <c r="C32" i="1"/>
  <c r="D32" i="1"/>
  <c r="A25" i="1"/>
  <c r="A26" i="1"/>
  <c r="A4" i="1" l="1"/>
  <c r="A5" i="1"/>
  <c r="A6" i="1"/>
  <c r="A7" i="1"/>
  <c r="A9" i="1"/>
  <c r="A10" i="1"/>
  <c r="A11" i="1"/>
  <c r="A12" i="1"/>
  <c r="A13" i="1"/>
  <c r="A14" i="1"/>
  <c r="A15" i="1"/>
  <c r="A16" i="1"/>
  <c r="A17" i="1"/>
  <c r="A20" i="1"/>
  <c r="A21" i="1"/>
  <c r="A22" i="1"/>
  <c r="A23" i="1"/>
  <c r="A24" i="1"/>
  <c r="A27" i="1"/>
  <c r="A28" i="1"/>
  <c r="A29" i="1"/>
  <c r="A30" i="1"/>
  <c r="A31" i="1"/>
  <c r="A32" i="1" l="1"/>
</calcChain>
</file>

<file path=xl/sharedStrings.xml><?xml version="1.0" encoding="utf-8"?>
<sst xmlns="http://schemas.openxmlformats.org/spreadsheetml/2006/main" count="96" uniqueCount="84">
  <si>
    <r>
      <t xml:space="preserve">مجموع کل توقفات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</si>
  <si>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کندی ها  </t>
    </r>
    <r>
      <rPr>
        <sz val="8"/>
        <rFont val="A  Mitra_1 (MRT)"/>
        <charset val="178"/>
      </rPr>
      <t>(ساعت )</t>
    </r>
  </si>
  <si>
    <r>
      <t xml:space="preserve">توقفات تولیدی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</si>
  <si>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توقفات</t>
  </si>
  <si>
    <r>
      <t xml:space="preserve">توقفات فنی </t>
    </r>
    <r>
      <rPr>
        <sz val="11"/>
        <rFont val="A  Mitra_1 (MRT)"/>
        <charset val="178"/>
      </rPr>
      <t>(تمام تجهیزات)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</si>
  <si>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شمش نرمال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</si>
  <si>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نرمال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</si>
  <si>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استاندارد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</si>
  <si>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کنترل کیفیت</t>
  </si>
  <si>
    <r>
      <t xml:space="preserve">درصد تولید شمش استاندارد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</si>
  <si>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مقدار مصرف کک  </t>
    </r>
    <r>
      <rPr>
        <sz val="6"/>
        <rFont val="A  Mitra_1 (MRT)"/>
        <charset val="178"/>
      </rPr>
      <t>(کیلوگرم)</t>
    </r>
  </si>
  <si>
    <r>
      <t xml:space="preserve">مقدار مصرف فرو سیلیس   </t>
    </r>
    <r>
      <rPr>
        <sz val="6"/>
        <rFont val="A  Mitra_1 (MRT)"/>
        <charset val="178"/>
      </rPr>
      <t>(کیلوگرم)</t>
    </r>
  </si>
  <si>
    <t>مصرف فروآلیاژ</t>
  </si>
  <si>
    <r>
      <t xml:space="preserve">مقدار مصرف فرو سیلیکو منگنز  </t>
    </r>
    <r>
      <rPr>
        <sz val="6"/>
        <rFont val="A  Mitra_1 (MRT)"/>
        <charset val="178"/>
      </rPr>
      <t>(کیلوگرم)</t>
    </r>
  </si>
  <si>
    <r>
      <rPr>
        <sz val="12"/>
        <rFont val="A  Mitra_1 (MRT)"/>
        <charset val="178"/>
      </rPr>
      <t xml:space="preserve">حداکثر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</si>
  <si>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-</t>
  </si>
  <si>
    <r>
      <rPr>
        <sz val="12"/>
        <rFont val="A  Mitra_1 (MRT)"/>
        <charset val="178"/>
      </rPr>
      <t xml:space="preserve">کمترین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</si>
  <si>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>میانگین تولید روزانه</t>
    </r>
    <r>
      <rPr>
        <b/>
        <sz val="12"/>
        <rFont val="A  Mitra_1 (MRT)"/>
        <charset val="178"/>
      </rPr>
      <t xml:space="preserve">  </t>
    </r>
    <r>
      <rPr>
        <b/>
        <vertAlign val="superscript"/>
        <sz val="12"/>
        <rFont val="A  Mitra_1 (MRT)"/>
        <charset val="178"/>
      </rPr>
      <t>(Kg</t>
    </r>
    <r>
      <rPr>
        <b/>
        <sz val="12"/>
        <rFont val="A  Mitra_1 (MRT)"/>
        <charset val="178"/>
      </rPr>
      <t xml:space="preserve"> </t>
    </r>
    <r>
      <rPr>
        <b/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</si>
  <si>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با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</si>
  <si>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بدون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</si>
  <si>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زمان کارکرد کوره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</si>
  <si>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متوسط زمان ذوب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دقیقه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</si>
  <si>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ذوب ریخته گری ناقص </t>
    </r>
    <r>
      <rPr>
        <sz val="8"/>
        <rFont val="A  Mitra_1 (MRT)"/>
        <charset val="178"/>
      </rPr>
      <t>(عدد)</t>
    </r>
  </si>
  <si>
    <r>
      <t xml:space="preserve">تعداد  ذوب برگشتی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</si>
  <si>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کل ذوبها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</si>
  <si>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تعداد شیفت کاری</t>
  </si>
  <si>
    <r>
      <t xml:space="preserve">درصد ضایعات برگشتی </t>
    </r>
    <r>
      <rPr>
        <sz val="8"/>
        <rFont val="B Nazanin"/>
        <charset val="178"/>
      </rPr>
      <t>( درصد )</t>
    </r>
  </si>
  <si>
    <r>
      <t xml:space="preserve">تناژ ضایعات برگشتی  </t>
    </r>
    <r>
      <rPr>
        <b/>
        <vertAlign val="superscript"/>
        <sz val="11"/>
        <rFont val="B Nazanin"/>
        <charset val="178"/>
      </rPr>
      <t>(کیلوگرم)</t>
    </r>
  </si>
  <si>
    <r>
      <t xml:space="preserve">میزان کل تولید  </t>
    </r>
    <r>
      <rPr>
        <sz val="8"/>
        <rFont val="A  Mitra_1 (MRT)"/>
        <charset val="178"/>
      </rPr>
      <t>(Kg)</t>
    </r>
  </si>
  <si>
    <t>تولید</t>
  </si>
  <si>
    <r>
      <rPr>
        <sz val="12"/>
        <rFont val="A  Mitra_1 (MRT)"/>
        <charset val="178"/>
      </rPr>
      <t xml:space="preserve">میزان کل ذوب ساخته شده  </t>
    </r>
    <r>
      <rPr>
        <sz val="8"/>
        <rFont val="A  Mitra_1 (MRT)"/>
        <charset val="178"/>
      </rPr>
      <t>(Kg)</t>
    </r>
  </si>
  <si>
    <t>A</t>
  </si>
  <si>
    <t>B</t>
  </si>
  <si>
    <t>C</t>
  </si>
  <si>
    <t>شرح</t>
  </si>
  <si>
    <t>شیفت</t>
  </si>
  <si>
    <t>مجموع</t>
  </si>
  <si>
    <r>
      <t>متوسط زمان ریخته گری</t>
    </r>
    <r>
      <rPr>
        <sz val="6"/>
        <rFont val="A  Mitra_1 (MRT)"/>
        <charset val="178"/>
      </rPr>
      <t xml:space="preserve"> (ساعت)</t>
    </r>
  </si>
  <si>
    <r>
      <t xml:space="preserve">مدت زمان ریخته گری </t>
    </r>
    <r>
      <rPr>
        <sz val="6"/>
        <rFont val="A  Mitra_1 (MRT)"/>
        <charset val="178"/>
      </rPr>
      <t>(ساعت)</t>
    </r>
  </si>
  <si>
    <t>تعداد روز کاری</t>
  </si>
  <si>
    <t>گزارش روزانه تولید</t>
  </si>
  <si>
    <t>روز جاری</t>
  </si>
  <si>
    <t>پارامتر</t>
  </si>
  <si>
    <t>شیفت C</t>
  </si>
  <si>
    <t>شیفت B</t>
  </si>
  <si>
    <t>شیفت A</t>
  </si>
  <si>
    <t>مجموع امروز</t>
  </si>
  <si>
    <r>
      <t xml:space="preserve">تناژ ذوب ساخته شده  </t>
    </r>
    <r>
      <rPr>
        <sz val="8"/>
        <rFont val="B Nazanin"/>
        <charset val="178"/>
      </rPr>
      <t>(کیلوگرم)</t>
    </r>
  </si>
  <si>
    <t>عملکرد تولید</t>
  </si>
  <si>
    <r>
      <t xml:space="preserve">تناژ تولید خالص  </t>
    </r>
    <r>
      <rPr>
        <sz val="8"/>
        <rFont val="B Nazanin"/>
        <charset val="178"/>
      </rPr>
      <t>(کیلوگرم)</t>
    </r>
  </si>
  <si>
    <r>
      <t>درصد تناژ ضایعات برگشتی</t>
    </r>
    <r>
      <rPr>
        <b/>
        <vertAlign val="superscript"/>
        <sz val="11"/>
        <rFont val="B Nazanin"/>
        <charset val="178"/>
      </rPr>
      <t>(درصد)</t>
    </r>
  </si>
  <si>
    <r>
      <t xml:space="preserve">تعداد کل ذوبها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</si>
  <si>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t xml:space="preserve">تعداد ذوب برگشتی </t>
    </r>
    <r>
      <rPr>
        <b/>
        <vertAlign val="superscript"/>
        <sz val="11"/>
        <rFont val="B Nazanin"/>
        <charset val="178"/>
      </rPr>
      <t>(عدد)</t>
    </r>
  </si>
  <si>
    <r>
      <t xml:space="preserve">تعداد ذوب ریخته گری ناقص </t>
    </r>
    <r>
      <rPr>
        <b/>
        <vertAlign val="superscript"/>
        <sz val="11"/>
        <rFont val="B Nazanin"/>
        <charset val="178"/>
      </rPr>
      <t>(عدد)</t>
    </r>
  </si>
  <si>
    <r>
      <t xml:space="preserve">تعداد ذوب تخلیه اضطراری </t>
    </r>
    <r>
      <rPr>
        <b/>
        <vertAlign val="superscript"/>
        <sz val="11"/>
        <rFont val="B Nazanin"/>
        <charset val="178"/>
      </rPr>
      <t>(عدد)</t>
    </r>
  </si>
  <si>
    <r>
      <t xml:space="preserve">متوسط زمان هر ذوب </t>
    </r>
    <r>
      <rPr>
        <sz val="8"/>
        <rFont val="B Nazanin"/>
        <charset val="178"/>
      </rPr>
      <t>(ساعت)</t>
    </r>
    <r>
      <rPr>
        <b/>
        <sz val="11"/>
        <rFont val="B Nazanin"/>
        <charset val="178"/>
      </rPr>
      <t xml:space="preserve"> </t>
    </r>
  </si>
  <si>
    <r>
      <t xml:space="preserve">مجموع زمان کارکرد  </t>
    </r>
    <r>
      <rPr>
        <sz val="8"/>
        <rFont val="B Nazanin"/>
        <charset val="178"/>
      </rPr>
      <t>(ساعت)</t>
    </r>
    <r>
      <rPr>
        <b/>
        <sz val="11"/>
        <rFont val="B Nazanin"/>
        <charset val="178"/>
      </rPr>
      <t xml:space="preserve"> </t>
    </r>
  </si>
  <si>
    <r>
      <t xml:space="preserve">میانگین تناژ تولید روزانه </t>
    </r>
    <r>
      <rPr>
        <sz val="8"/>
        <rFont val="B Nazanin"/>
        <charset val="178"/>
      </rPr>
      <t xml:space="preserve"> (کیلوگرم)</t>
    </r>
  </si>
  <si>
    <r>
      <t xml:space="preserve">متوسط زمان ریخته گری </t>
    </r>
    <r>
      <rPr>
        <sz val="8"/>
        <rFont val="B Nazanin"/>
        <charset val="178"/>
      </rPr>
      <t>(ساعت)</t>
    </r>
  </si>
  <si>
    <r>
      <t xml:space="preserve">مدت زمان ریخته گری  </t>
    </r>
    <r>
      <rPr>
        <sz val="8"/>
        <rFont val="B Nazanin"/>
        <charset val="178"/>
      </rPr>
      <t>(ساعت)</t>
    </r>
  </si>
  <si>
    <r>
      <t xml:space="preserve">توقفات فنی  </t>
    </r>
    <r>
      <rPr>
        <sz val="8"/>
        <rFont val="B Nazanin"/>
        <charset val="178"/>
      </rPr>
      <t>(ساعت)</t>
    </r>
  </si>
  <si>
    <r>
      <t xml:space="preserve">توقفات تولیدی  </t>
    </r>
    <r>
      <rPr>
        <sz val="8"/>
        <rFont val="B Nazanin"/>
        <charset val="178"/>
      </rPr>
      <t>(ساعت)</t>
    </r>
  </si>
  <si>
    <r>
      <t xml:space="preserve">کندی ها  </t>
    </r>
    <r>
      <rPr>
        <sz val="8"/>
        <rFont val="B Nazanin"/>
        <charset val="178"/>
      </rPr>
      <t>(ساعت)</t>
    </r>
  </si>
  <si>
    <r>
      <t xml:space="preserve">تعداد شیفت کاری </t>
    </r>
    <r>
      <rPr>
        <b/>
        <vertAlign val="superscript"/>
        <sz val="11"/>
        <rFont val="B Nazanin"/>
        <charset val="178"/>
      </rPr>
      <t>(عدد)</t>
    </r>
  </si>
  <si>
    <r>
      <t xml:space="preserve">شمش 12 متری </t>
    </r>
    <r>
      <rPr>
        <sz val="9"/>
        <rFont val="B Nazanin"/>
        <charset val="178"/>
      </rPr>
      <t>(عدد)</t>
    </r>
  </si>
  <si>
    <t>کیفیت محصول</t>
  </si>
  <si>
    <r>
      <t xml:space="preserve">درصد شمش 12 متری </t>
    </r>
    <r>
      <rPr>
        <b/>
        <vertAlign val="superscript"/>
        <sz val="11"/>
        <rFont val="B Nazanin"/>
        <charset val="178"/>
      </rPr>
      <t>(درصد)</t>
    </r>
  </si>
  <si>
    <r>
      <t xml:space="preserve">   شمش نرمال </t>
    </r>
    <r>
      <rPr>
        <b/>
        <sz val="8"/>
        <rFont val="B Nazanin"/>
        <charset val="178"/>
      </rPr>
      <t>(عدد)</t>
    </r>
  </si>
  <si>
    <r>
      <t xml:space="preserve">درصد شمش نرمال  </t>
    </r>
    <r>
      <rPr>
        <b/>
        <vertAlign val="superscript"/>
        <sz val="11"/>
        <rFont val="B Nazanin"/>
        <charset val="178"/>
      </rPr>
      <t>(درصد)</t>
    </r>
  </si>
  <si>
    <r>
      <t xml:space="preserve">مصرف سیلیکومنگنز </t>
    </r>
    <r>
      <rPr>
        <b/>
        <vertAlign val="superscript"/>
        <sz val="11"/>
        <rFont val="B Nazanin"/>
        <charset val="178"/>
      </rPr>
      <t>کیلوگرم</t>
    </r>
  </si>
  <si>
    <t>مصرف  مواد</t>
  </si>
  <si>
    <r>
      <t xml:space="preserve">مصرف سیلیس </t>
    </r>
    <r>
      <rPr>
        <b/>
        <vertAlign val="superscript"/>
        <sz val="11"/>
        <rFont val="B Nazanin"/>
        <charset val="178"/>
      </rPr>
      <t>کیلوگرم</t>
    </r>
  </si>
  <si>
    <r>
      <t xml:space="preserve">مصرف آلمینیوم </t>
    </r>
    <r>
      <rPr>
        <b/>
        <vertAlign val="superscript"/>
        <sz val="11"/>
        <rFont val="B Nazanin"/>
        <charset val="178"/>
      </rPr>
      <t>کیلوگرم</t>
    </r>
  </si>
  <si>
    <r>
      <t xml:space="preserve">مصرف کک </t>
    </r>
    <r>
      <rPr>
        <b/>
        <vertAlign val="superscript"/>
        <sz val="11"/>
        <rFont val="B Nazanin"/>
        <charset val="178"/>
      </rPr>
      <t>کیلوگرم</t>
    </r>
  </si>
  <si>
    <t xml:space="preserve">از ابتدای ماه </t>
  </si>
  <si>
    <r>
      <t xml:space="preserve">نرخ تولید </t>
    </r>
    <r>
      <rPr>
        <b/>
        <sz val="8"/>
        <rFont val="B Nazanin"/>
        <charset val="178"/>
      </rPr>
      <t xml:space="preserve"> (بدون احتساب توقفات) </t>
    </r>
    <r>
      <rPr>
        <b/>
        <sz val="7"/>
        <rFont val="B Nazanin"/>
        <charset val="178"/>
      </rPr>
      <t>(KG/min)</t>
    </r>
  </si>
  <si>
    <r>
      <t xml:space="preserve">نرخ تولید </t>
    </r>
    <r>
      <rPr>
        <b/>
        <sz val="8"/>
        <rFont val="B Nazanin"/>
        <charset val="178"/>
      </rPr>
      <t xml:space="preserve"> (با احتساب توقفات) </t>
    </r>
    <r>
      <rPr>
        <b/>
        <sz val="7"/>
        <rFont val="B Nazanin"/>
        <charset val="178"/>
      </rPr>
      <t>(KG/min)</t>
    </r>
  </si>
  <si>
    <r>
      <t xml:space="preserve">درصد تحقق ظرفیت تولید </t>
    </r>
    <r>
      <rPr>
        <b/>
        <vertAlign val="superscript"/>
        <sz val="11"/>
        <rFont val="B Nazanin"/>
        <charset val="178"/>
      </rPr>
      <t>(درصد)</t>
    </r>
  </si>
  <si>
    <r>
      <t xml:space="preserve">نرخ تبدیل ریخته گری </t>
    </r>
    <r>
      <rPr>
        <b/>
        <vertAlign val="superscript"/>
        <sz val="11"/>
        <rFont val="B Nazanin"/>
        <charset val="178"/>
      </rPr>
      <t>(درصد)</t>
    </r>
  </si>
  <si>
    <t>ریخته گری</t>
  </si>
  <si>
    <r>
      <rPr>
        <b/>
        <sz val="10"/>
        <rFont val="B Nazanin"/>
        <charset val="178"/>
      </rPr>
      <t>شماره مدرک :</t>
    </r>
    <r>
      <rPr>
        <b/>
        <sz val="8"/>
        <rFont val="Microsoft YaHei"/>
        <family val="2"/>
      </rPr>
      <t xml:space="preserve">            KKS-PD-02-V02</t>
    </r>
  </si>
  <si>
    <t xml:space="preserve">تاریخ :                                1405/03/01       </t>
  </si>
  <si>
    <t>شماره :                                  405-0301</t>
  </si>
  <si>
    <t xml:space="preserve">خلاصه عملکرد اردیبهشت ماه 1405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</si>
</sst>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[h]:mm"/>
    <numFmt numFmtId="166" formatCode="h:mm;@"/>
  </numFmts>
  <fonts count="3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  Mitra_1 (MRT)"/>
      <charset val="178"/>
    </font>
    <font>
      <b/>
      <sz val="12"/>
      <name val="A  Mitra_1 (MRT)"/>
      <charset val="178"/>
    </font>
    <font>
      <sz val="12"/>
      <color rgb="FF000000"/>
      <name val="A  Mitra_1 (MRT)"/>
      <charset val="178"/>
    </font>
    <font>
      <sz val="12"/>
      <name val="A  Mitra_1 (MRT)"/>
      <charset val="178"/>
    </font>
    <font>
      <vertAlign val="superscript"/>
      <sz val="12"/>
      <name val="A  Mitra_1 (MRT)"/>
      <charset val="178"/>
    </font>
    <font>
      <sz val="8"/>
      <name val="A  Mitra_1 (MRT)"/>
      <charset val="178"/>
    </font>
    <font>
      <sz val="11"/>
      <name val="A  Mitra_1 (MRT)"/>
      <charset val="178"/>
    </font>
    <font>
      <sz val="6"/>
      <name val="A  Mitra_1 (MRT)"/>
      <charset val="178"/>
    </font>
    <font>
      <b/>
      <sz val="11"/>
      <name val="B Nazanin"/>
      <charset val="178"/>
    </font>
    <font>
      <sz val="8"/>
      <name val="B Nazanin"/>
      <charset val="178"/>
    </font>
    <font>
      <b/>
      <vertAlign val="superscript"/>
      <sz val="12"/>
      <name val="A  Mitra_1 (MRT)"/>
      <charset val="178"/>
    </font>
    <font>
      <sz val="10"/>
      <name val="A  Mitra_1 (MRT)"/>
      <charset val="178"/>
    </font>
    <font>
      <sz val="9"/>
      <name val="A  Mitra_1 (MRT)"/>
      <charset val="178"/>
    </font>
    <font>
      <b/>
      <vertAlign val="superscript"/>
      <sz val="11"/>
      <name val="B Nazanin"/>
      <charset val="178"/>
    </font>
    <font>
      <sz val="16"/>
      <name val="B Titr"/>
      <charset val="178"/>
    </font>
    <font>
      <b/>
      <sz val="14"/>
      <color rgb="FF000000"/>
      <name val="B Nazanin"/>
      <charset val="178"/>
    </font>
    <font>
      <b/>
      <sz val="14"/>
      <name val="B Nazanin"/>
      <charset val="178"/>
    </font>
    <font>
      <b/>
      <sz val="18"/>
      <name val="B Nazanin"/>
      <charset val="178"/>
    </font>
    <font>
      <b/>
      <sz val="10"/>
      <color rgb="FF000000"/>
      <name val="B Nazanin"/>
      <charset val="178"/>
    </font>
    <font>
      <b/>
      <sz val="10"/>
      <name val="B Nazanin"/>
      <charset val="178"/>
    </font>
    <font>
      <b/>
      <sz val="9"/>
      <name val="B Nazanin"/>
      <charset val="178"/>
    </font>
    <font>
      <b/>
      <sz val="11"/>
      <color rgb="FF000000"/>
      <name val="B Nazanin"/>
      <charset val="178"/>
    </font>
    <font>
      <b/>
      <sz val="7"/>
      <name val="B Nazanin"/>
      <charset val="178"/>
    </font>
    <font>
      <b/>
      <sz val="12"/>
      <color rgb="FF000000"/>
      <name val="B Nazanin"/>
      <charset val="178"/>
    </font>
    <font>
      <b/>
      <sz val="12"/>
      <name val="B Nazanin"/>
      <charset val="178"/>
    </font>
    <font>
      <b/>
      <sz val="8"/>
      <name val="B Nazanin"/>
      <charset val="178"/>
    </font>
    <font>
      <b/>
      <sz val="12"/>
      <color rgb="FFFF0000"/>
      <name val="B Nazanin"/>
      <charset val="178"/>
    </font>
    <font>
      <sz val="9"/>
      <name val="B Nazanin"/>
      <charset val="178"/>
    </font>
    <font>
      <b/>
      <sz val="8"/>
      <name val="Microsoft YaHei"/>
      <family val="2"/>
    </font>
    <font>
      <b/>
      <sz val="8"/>
      <name val="Microsoft YaHei"/>
      <family val="2"/>
      <charset val="178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rgb="FFFFC000"/>
      </patternFill>
    </fill>
    <fill>
      <patternFill patternType="solid">
        <fgColor rgb="FFF9BE8F"/>
      </patternFill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5">
    <xf numFmtId="0" fontId="0" fillId="0" borderId="0" xfId="0"/>
    <xf numFmtId="0" fontId="2" fillId="0" borderId="0" xfId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" fontId="4" fillId="0" borderId="2" xfId="1" applyNumberFormat="1" applyFont="1" applyBorder="1" applyAlignment="1">
      <alignment horizontal="center" vertical="top" shrinkToFit="1"/>
    </xf>
    <xf numFmtId="0" fontId="5" fillId="3" borderId="2" xfId="1" applyFont="1" applyFill="1" applyBorder="1" applyAlignment="1">
      <alignment horizontal="right" vertical="center" wrapText="1" readingOrder="2"/>
    </xf>
    <xf numFmtId="20" fontId="2" fillId="0" borderId="0" xfId="1" applyNumberFormat="1" applyFont="1" applyAlignment="1">
      <alignment horizontal="left" vertical="top"/>
    </xf>
    <xf numFmtId="0" fontId="5" fillId="3" borderId="5" xfId="1" applyFont="1" applyFill="1" applyBorder="1" applyAlignment="1">
      <alignment horizontal="right" vertical="center" wrapText="1" readingOrder="2"/>
    </xf>
    <xf numFmtId="0" fontId="5" fillId="3" borderId="7" xfId="1" applyFont="1" applyFill="1" applyBorder="1" applyAlignment="1">
      <alignment horizontal="right" vertical="center" wrapText="1" readingOrder="2"/>
    </xf>
    <xf numFmtId="0" fontId="5" fillId="3" borderId="11" xfId="1" applyFont="1" applyFill="1" applyBorder="1" applyAlignment="1">
      <alignment horizontal="right" vertical="center" wrapText="1" readingOrder="2"/>
    </xf>
    <xf numFmtId="0" fontId="5" fillId="3" borderId="8" xfId="1" applyFont="1" applyFill="1" applyBorder="1" applyAlignment="1">
      <alignment horizontal="right" vertical="center" wrapText="1" readingOrder="2"/>
    </xf>
    <xf numFmtId="0" fontId="5" fillId="3" borderId="12" xfId="1" applyFont="1" applyFill="1" applyBorder="1" applyAlignment="1">
      <alignment horizontal="right" vertical="center" wrapText="1" readingOrder="2"/>
    </xf>
    <xf numFmtId="0" fontId="2" fillId="3" borderId="16" xfId="1" applyFont="1" applyFill="1" applyBorder="1" applyAlignment="1">
      <alignment horizontal="right" vertical="center" wrapText="1" readingOrder="2"/>
    </xf>
    <xf numFmtId="0" fontId="2" fillId="3" borderId="2" xfId="1" applyFont="1" applyFill="1" applyBorder="1" applyAlignment="1">
      <alignment horizontal="right" vertical="center" wrapText="1" readingOrder="2"/>
    </xf>
    <xf numFmtId="0" fontId="13" fillId="3" borderId="2" xfId="1" applyFont="1" applyFill="1" applyBorder="1" applyAlignment="1">
      <alignment horizontal="right" vertical="center" wrapText="1" readingOrder="2"/>
    </xf>
    <xf numFmtId="0" fontId="10" fillId="5" borderId="8" xfId="0" applyFont="1" applyFill="1" applyBorder="1" applyAlignment="1">
      <alignment vertical="center" readingOrder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right" vertical="top" wrapText="1" indent="2" readingOrder="2"/>
    </xf>
    <xf numFmtId="0" fontId="5" fillId="5" borderId="15" xfId="0" applyFont="1" applyFill="1" applyBorder="1" applyAlignment="1">
      <alignment horizontal="right" vertical="center" wrapText="1" readingOrder="2"/>
    </xf>
    <xf numFmtId="0" fontId="5" fillId="5" borderId="7" xfId="0" applyFont="1" applyFill="1" applyBorder="1" applyAlignment="1">
      <alignment horizontal="right" vertical="center" wrapText="1" readingOrder="2"/>
    </xf>
    <xf numFmtId="3" fontId="17" fillId="4" borderId="2" xfId="1" applyNumberFormat="1" applyFont="1" applyFill="1" applyBorder="1" applyAlignment="1">
      <alignment horizontal="center" vertical="center" shrinkToFit="1"/>
    </xf>
    <xf numFmtId="10" fontId="17" fillId="4" borderId="2" xfId="1" applyNumberFormat="1" applyFont="1" applyFill="1" applyBorder="1" applyAlignment="1">
      <alignment horizontal="center" vertical="center" shrinkToFit="1"/>
    </xf>
    <xf numFmtId="1" fontId="17" fillId="4" borderId="2" xfId="1" applyNumberFormat="1" applyFont="1" applyFill="1" applyBorder="1" applyAlignment="1">
      <alignment horizontal="center" vertical="center" shrinkToFit="1"/>
    </xf>
    <xf numFmtId="166" fontId="18" fillId="4" borderId="2" xfId="1" applyNumberFormat="1" applyFont="1" applyFill="1" applyBorder="1" applyAlignment="1">
      <alignment horizontal="center" vertical="center" wrapText="1"/>
    </xf>
    <xf numFmtId="164" fontId="17" fillId="4" borderId="2" xfId="1" applyNumberFormat="1" applyFont="1" applyFill="1" applyBorder="1" applyAlignment="1">
      <alignment horizontal="center" vertical="center" shrinkToFit="1"/>
    </xf>
    <xf numFmtId="4" fontId="17" fillId="4" borderId="2" xfId="1" applyNumberFormat="1" applyFont="1" applyFill="1" applyBorder="1" applyAlignment="1">
      <alignment horizontal="center" vertical="center" shrinkToFit="1"/>
    </xf>
    <xf numFmtId="2" fontId="17" fillId="4" borderId="2" xfId="1" applyNumberFormat="1" applyFont="1" applyFill="1" applyBorder="1" applyAlignment="1">
      <alignment horizontal="center" vertical="center" shrinkToFit="1"/>
    </xf>
    <xf numFmtId="164" fontId="17" fillId="4" borderId="14" xfId="1" applyNumberFormat="1" applyFont="1" applyFill="1" applyBorder="1" applyAlignment="1">
      <alignment horizontal="center" vertical="center" shrinkToFit="1"/>
    </xf>
    <xf numFmtId="3" fontId="17" fillId="4" borderId="5" xfId="1" applyNumberFormat="1" applyFont="1" applyFill="1" applyBorder="1" applyAlignment="1">
      <alignment horizontal="center" vertical="center" shrinkToFit="1"/>
    </xf>
    <xf numFmtId="164" fontId="18" fillId="4" borderId="2" xfId="1" applyNumberFormat="1" applyFont="1" applyFill="1" applyBorder="1" applyAlignment="1">
      <alignment horizontal="center" vertical="center" wrapText="1"/>
    </xf>
    <xf numFmtId="3" fontId="17" fillId="4" borderId="2" xfId="0" applyNumberFormat="1" applyFont="1" applyFill="1" applyBorder="1" applyAlignment="1">
      <alignment horizontal="center" vertical="center" shrinkToFit="1"/>
    </xf>
    <xf numFmtId="10" fontId="17" fillId="4" borderId="2" xfId="0" applyNumberFormat="1" applyFont="1" applyFill="1" applyBorder="1" applyAlignment="1">
      <alignment horizontal="center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20" fontId="18" fillId="4" borderId="2" xfId="1" applyNumberFormat="1" applyFont="1" applyFill="1" applyBorder="1" applyAlignment="1">
      <alignment horizontal="center" vertical="center" wrapText="1"/>
    </xf>
    <xf numFmtId="20" fontId="18" fillId="4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shrinkToFit="1"/>
    </xf>
    <xf numFmtId="4" fontId="17" fillId="4" borderId="2" xfId="0" applyNumberFormat="1" applyFont="1" applyFill="1" applyBorder="1" applyAlignment="1">
      <alignment horizontal="center" vertical="center" shrinkToFit="1"/>
    </xf>
    <xf numFmtId="164" fontId="17" fillId="4" borderId="8" xfId="0" applyNumberFormat="1" applyFont="1" applyFill="1" applyBorder="1" applyAlignment="1">
      <alignment horizontal="center" vertical="center" shrinkToFit="1"/>
    </xf>
    <xf numFmtId="164" fontId="17" fillId="4" borderId="14" xfId="0" applyNumberFormat="1" applyFont="1" applyFill="1" applyBorder="1" applyAlignment="1">
      <alignment horizontal="center" vertical="center" shrinkToFit="1"/>
    </xf>
    <xf numFmtId="164" fontId="17" fillId="4" borderId="13" xfId="0" applyNumberFormat="1" applyFont="1" applyFill="1" applyBorder="1" applyAlignment="1">
      <alignment horizontal="center" vertical="center" shrinkToFit="1"/>
    </xf>
    <xf numFmtId="3" fontId="17" fillId="4" borderId="5" xfId="0" applyNumberFormat="1" applyFont="1" applyFill="1" applyBorder="1" applyAlignment="1">
      <alignment horizontal="center" vertical="center" shrinkToFit="1"/>
    </xf>
    <xf numFmtId="3" fontId="17" fillId="4" borderId="8" xfId="0" applyNumberFormat="1" applyFont="1" applyFill="1" applyBorder="1" applyAlignment="1">
      <alignment horizontal="center" vertical="center" shrinkToFit="1"/>
    </xf>
    <xf numFmtId="10" fontId="17" fillId="4" borderId="8" xfId="0" applyNumberFormat="1" applyFont="1" applyFill="1" applyBorder="1" applyAlignment="1">
      <alignment horizontal="center" vertical="center" shrinkToFit="1"/>
    </xf>
    <xf numFmtId="166" fontId="17" fillId="4" borderId="2" xfId="1" applyNumberFormat="1" applyFont="1" applyFill="1" applyBorder="1" applyAlignment="1">
      <alignment horizontal="center" vertical="center" shrinkToFit="1"/>
    </xf>
    <xf numFmtId="166" fontId="17" fillId="4" borderId="2" xfId="0" applyNumberFormat="1" applyFont="1" applyFill="1" applyBorder="1" applyAlignment="1">
      <alignment horizontal="center" vertical="center" shrinkToFit="1"/>
    </xf>
    <xf numFmtId="165" fontId="18" fillId="4" borderId="2" xfId="0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horizontal="left" vertical="center"/>
    </xf>
    <xf numFmtId="0" fontId="21" fillId="9" borderId="19" xfId="1" applyFont="1" applyFill="1" applyBorder="1" applyAlignment="1">
      <alignment horizontal="center" vertical="center" wrapText="1" readingOrder="2"/>
    </xf>
    <xf numFmtId="0" fontId="21" fillId="9" borderId="2" xfId="1" applyFont="1" applyFill="1" applyBorder="1" applyAlignment="1">
      <alignment horizontal="center" vertical="center" wrapText="1" readingOrder="2"/>
    </xf>
    <xf numFmtId="0" fontId="22" fillId="10" borderId="2" xfId="1" applyFont="1" applyFill="1" applyBorder="1" applyAlignment="1">
      <alignment horizontal="center" vertical="center" wrapText="1" readingOrder="2"/>
    </xf>
    <xf numFmtId="0" fontId="21" fillId="10" borderId="2" xfId="1" applyFont="1" applyFill="1" applyBorder="1" applyAlignment="1">
      <alignment horizontal="center" vertical="center" wrapText="1" readingOrder="2"/>
    </xf>
    <xf numFmtId="3" fontId="23" fillId="0" borderId="2" xfId="1" applyNumberFormat="1" applyFont="1" applyBorder="1" applyAlignment="1">
      <alignment horizontal="center" vertical="center" shrinkToFit="1"/>
    </xf>
    <xf numFmtId="3" fontId="23" fillId="12" borderId="2" xfId="1" applyNumberFormat="1" applyFont="1" applyFill="1" applyBorder="1" applyAlignment="1">
      <alignment horizontal="center" vertical="center" shrinkToFit="1"/>
    </xf>
    <xf numFmtId="3" fontId="25" fillId="0" borderId="2" xfId="1" applyNumberFormat="1" applyFont="1" applyBorder="1" applyAlignment="1">
      <alignment horizontal="center" vertical="center" shrinkToFit="1"/>
    </xf>
    <xf numFmtId="3" fontId="25" fillId="0" borderId="16" xfId="1" applyNumberFormat="1" applyFont="1" applyBorder="1" applyAlignment="1">
      <alignment horizontal="center" vertical="center" shrinkToFit="1"/>
    </xf>
    <xf numFmtId="10" fontId="25" fillId="0" borderId="0" xfId="1" applyNumberFormat="1" applyFont="1" applyAlignment="1">
      <alignment horizontal="center" vertical="center" shrinkToFit="1"/>
    </xf>
    <xf numFmtId="10" fontId="25" fillId="0" borderId="7" xfId="1" applyNumberFormat="1" applyFont="1" applyBorder="1" applyAlignment="1">
      <alignment horizontal="center" vertical="center"/>
    </xf>
    <xf numFmtId="10" fontId="25" fillId="0" borderId="19" xfId="1" applyNumberFormat="1" applyFont="1" applyBorder="1" applyAlignment="1">
      <alignment horizontal="center" vertical="center" shrinkToFit="1"/>
    </xf>
    <xf numFmtId="10" fontId="25" fillId="0" borderId="2" xfId="1" applyNumberFormat="1" applyFont="1" applyBorder="1" applyAlignment="1">
      <alignment horizontal="center" vertical="center" shrinkToFit="1"/>
    </xf>
    <xf numFmtId="1" fontId="25" fillId="0" borderId="2" xfId="1" applyNumberFormat="1" applyFont="1" applyBorder="1" applyAlignment="1">
      <alignment horizontal="center" vertical="center" shrinkToFit="1"/>
    </xf>
    <xf numFmtId="1" fontId="25" fillId="0" borderId="5" xfId="1" applyNumberFormat="1" applyFont="1" applyBorder="1" applyAlignment="1">
      <alignment horizontal="center" vertical="center" shrinkToFit="1"/>
    </xf>
    <xf numFmtId="1" fontId="25" fillId="13" borderId="2" xfId="1" applyNumberFormat="1" applyFont="1" applyFill="1" applyBorder="1" applyAlignment="1">
      <alignment horizontal="center" vertical="center" shrinkToFit="1"/>
    </xf>
    <xf numFmtId="166" fontId="26" fillId="0" borderId="2" xfId="1" applyNumberFormat="1" applyFont="1" applyBorder="1" applyAlignment="1">
      <alignment horizontal="center" vertical="center" wrapText="1"/>
    </xf>
    <xf numFmtId="164" fontId="26" fillId="0" borderId="2" xfId="1" applyNumberFormat="1" applyFont="1" applyBorder="1" applyAlignment="1">
      <alignment horizontal="center" vertical="center" wrapText="1"/>
    </xf>
    <xf numFmtId="165" fontId="26" fillId="0" borderId="2" xfId="1" applyNumberFormat="1" applyFont="1" applyBorder="1" applyAlignment="1">
      <alignment horizontal="center" vertical="center" wrapText="1"/>
    </xf>
    <xf numFmtId="4" fontId="25" fillId="14" borderId="2" xfId="1" applyNumberFormat="1" applyFont="1" applyFill="1" applyBorder="1" applyAlignment="1">
      <alignment horizontal="center" vertical="center" shrinkToFit="1"/>
    </xf>
    <xf numFmtId="3" fontId="25" fillId="14" borderId="19" xfId="1" applyNumberFormat="1" applyFont="1" applyFill="1" applyBorder="1" applyAlignment="1">
      <alignment horizontal="center" vertical="center" shrinkToFit="1"/>
    </xf>
    <xf numFmtId="3" fontId="25" fillId="14" borderId="2" xfId="1" applyNumberFormat="1" applyFont="1" applyFill="1" applyBorder="1" applyAlignment="1">
      <alignment horizontal="center" vertical="center" shrinkToFit="1"/>
    </xf>
    <xf numFmtId="166" fontId="25" fillId="0" borderId="2" xfId="1" applyNumberFormat="1" applyFont="1" applyBorder="1" applyAlignment="1">
      <alignment horizontal="center" vertical="center" shrinkToFit="1"/>
    </xf>
    <xf numFmtId="1" fontId="25" fillId="0" borderId="18" xfId="1" applyNumberFormat="1" applyFont="1" applyBorder="1" applyAlignment="1">
      <alignment horizontal="center" vertical="center" shrinkToFit="1"/>
    </xf>
    <xf numFmtId="0" fontId="25" fillId="16" borderId="7" xfId="1" applyFont="1" applyFill="1" applyBorder="1" applyAlignment="1">
      <alignment horizontal="center" vertical="center" wrapText="1"/>
    </xf>
    <xf numFmtId="10" fontId="25" fillId="16" borderId="5" xfId="1" applyNumberFormat="1" applyFont="1" applyFill="1" applyBorder="1" applyAlignment="1">
      <alignment horizontal="center" vertical="center" shrinkToFit="1"/>
    </xf>
    <xf numFmtId="9" fontId="25" fillId="16" borderId="5" xfId="1" applyNumberFormat="1" applyFont="1" applyFill="1" applyBorder="1" applyAlignment="1">
      <alignment horizontal="center" vertical="center" shrinkToFit="1"/>
    </xf>
    <xf numFmtId="1" fontId="25" fillId="16" borderId="5" xfId="1" applyNumberFormat="1" applyFont="1" applyFill="1" applyBorder="1" applyAlignment="1">
      <alignment horizontal="center" vertical="center" shrinkToFit="1"/>
    </xf>
    <xf numFmtId="10" fontId="25" fillId="16" borderId="2" xfId="1" applyNumberFormat="1" applyFont="1" applyFill="1" applyBorder="1" applyAlignment="1">
      <alignment horizontal="center" vertical="center" shrinkToFit="1"/>
    </xf>
    <xf numFmtId="9" fontId="25" fillId="16" borderId="2" xfId="1" applyNumberFormat="1" applyFont="1" applyFill="1" applyBorder="1" applyAlignment="1">
      <alignment horizontal="center" vertical="center" shrinkToFit="1"/>
    </xf>
    <xf numFmtId="1" fontId="25" fillId="0" borderId="16" xfId="1" applyNumberFormat="1" applyFont="1" applyBorder="1" applyAlignment="1">
      <alignment horizontal="center" vertical="center" shrinkToFit="1"/>
    </xf>
    <xf numFmtId="3" fontId="25" fillId="0" borderId="7" xfId="1" applyNumberFormat="1" applyFont="1" applyBorder="1" applyAlignment="1">
      <alignment horizontal="center" vertical="center" shrinkToFit="1"/>
    </xf>
    <xf numFmtId="1" fontId="25" fillId="0" borderId="7" xfId="1" applyNumberFormat="1" applyFont="1" applyBorder="1" applyAlignment="1">
      <alignment horizontal="center" vertical="center" shrinkToFit="1"/>
    </xf>
    <xf numFmtId="10" fontId="23" fillId="12" borderId="2" xfId="1" applyNumberFormat="1" applyFont="1" applyFill="1" applyBorder="1" applyAlignment="1">
      <alignment horizontal="center" vertical="center" shrinkToFit="1"/>
    </xf>
    <xf numFmtId="10" fontId="23" fillId="12" borderId="16" xfId="1" applyNumberFormat="1" applyFont="1" applyFill="1" applyBorder="1" applyAlignment="1">
      <alignment horizontal="center" vertical="center" shrinkToFit="1"/>
    </xf>
    <xf numFmtId="1" fontId="31" fillId="0" borderId="7" xfId="1" applyNumberFormat="1" applyFont="1" applyBorder="1" applyAlignment="1">
      <alignment horizontal="right" vertical="center" wrapText="1" indent="1" readingOrder="2"/>
    </xf>
    <xf numFmtId="1" fontId="30" fillId="0" borderId="7" xfId="1" applyNumberFormat="1" applyFont="1" applyBorder="1" applyAlignment="1">
      <alignment horizontal="right" vertical="center" wrapText="1" indent="1" readingOrder="2"/>
    </xf>
    <xf numFmtId="0" fontId="21" fillId="0" borderId="7" xfId="1" applyFont="1" applyBorder="1" applyAlignment="1">
      <alignment horizontal="right" vertical="center" wrapText="1" indent="1"/>
    </xf>
    <xf numFmtId="0" fontId="10" fillId="9" borderId="41" xfId="1" applyFont="1" applyFill="1" applyBorder="1" applyAlignment="1">
      <alignment horizontal="center" vertical="center" wrapText="1" readingOrder="2"/>
    </xf>
    <xf numFmtId="0" fontId="10" fillId="9" borderId="42" xfId="1" applyFont="1" applyFill="1" applyBorder="1" applyAlignment="1">
      <alignment horizontal="center" vertical="center" wrapText="1" readingOrder="2"/>
    </xf>
    <xf numFmtId="0" fontId="10" fillId="9" borderId="43" xfId="1" applyFont="1" applyFill="1" applyBorder="1" applyAlignment="1">
      <alignment horizontal="center" vertical="center" wrapText="1" readingOrder="2"/>
    </xf>
    <xf numFmtId="0" fontId="10" fillId="10" borderId="12" xfId="1" applyFont="1" applyFill="1" applyBorder="1" applyAlignment="1">
      <alignment horizontal="center" vertical="center" wrapText="1" readingOrder="2"/>
    </xf>
    <xf numFmtId="0" fontId="10" fillId="10" borderId="21" xfId="1" applyFont="1" applyFill="1" applyBorder="1" applyAlignment="1">
      <alignment horizontal="center" vertical="center" wrapText="1" readingOrder="2"/>
    </xf>
    <xf numFmtId="0" fontId="10" fillId="10" borderId="17" xfId="1" applyFont="1" applyFill="1" applyBorder="1" applyAlignment="1">
      <alignment horizontal="center" vertical="center" wrapText="1" readingOrder="2"/>
    </xf>
    <xf numFmtId="0" fontId="18" fillId="10" borderId="22" xfId="1" applyFont="1" applyFill="1" applyBorder="1" applyAlignment="1">
      <alignment horizontal="center" vertical="center" wrapText="1" readingOrder="2"/>
    </xf>
    <xf numFmtId="0" fontId="18" fillId="10" borderId="23" xfId="1" applyFont="1" applyFill="1" applyBorder="1" applyAlignment="1">
      <alignment horizontal="center" vertical="center" wrapText="1" readingOrder="2"/>
    </xf>
    <xf numFmtId="0" fontId="18" fillId="10" borderId="10" xfId="1" applyFont="1" applyFill="1" applyBorder="1" applyAlignment="1">
      <alignment horizontal="center" vertical="center" wrapText="1" readingOrder="2"/>
    </xf>
    <xf numFmtId="0" fontId="18" fillId="10" borderId="24" xfId="1" applyFont="1" applyFill="1" applyBorder="1" applyAlignment="1">
      <alignment horizontal="center" vertical="center" wrapText="1" readingOrder="2"/>
    </xf>
    <xf numFmtId="0" fontId="18" fillId="10" borderId="0" xfId="1" applyFont="1" applyFill="1" applyAlignment="1">
      <alignment horizontal="center" vertical="center" wrapText="1" readingOrder="2"/>
    </xf>
    <xf numFmtId="0" fontId="18" fillId="10" borderId="9" xfId="1" applyFont="1" applyFill="1" applyBorder="1" applyAlignment="1">
      <alignment horizontal="center" vertical="center" wrapText="1" readingOrder="2"/>
    </xf>
    <xf numFmtId="0" fontId="21" fillId="9" borderId="8" xfId="1" applyFont="1" applyFill="1" applyBorder="1" applyAlignment="1">
      <alignment horizontal="center" vertical="center" wrapText="1" readingOrder="2"/>
    </xf>
    <xf numFmtId="0" fontId="21" fillId="9" borderId="19" xfId="1" applyFont="1" applyFill="1" applyBorder="1" applyAlignment="1">
      <alignment horizontal="center" vertical="center" wrapText="1" readingOrder="2"/>
    </xf>
    <xf numFmtId="0" fontId="19" fillId="0" borderId="34" xfId="1" applyFont="1" applyBorder="1" applyAlignment="1">
      <alignment horizontal="center" vertical="center" wrapText="1" readingOrder="2"/>
    </xf>
    <xf numFmtId="0" fontId="19" fillId="0" borderId="23" xfId="1" applyFont="1" applyBorder="1" applyAlignment="1">
      <alignment horizontal="center" vertical="center" wrapText="1" readingOrder="2"/>
    </xf>
    <xf numFmtId="0" fontId="19" fillId="0" borderId="35" xfId="1" applyFont="1" applyBorder="1" applyAlignment="1">
      <alignment horizontal="center" vertical="center" wrapText="1" readingOrder="2"/>
    </xf>
    <xf numFmtId="0" fontId="19" fillId="0" borderId="39" xfId="1" applyFont="1" applyBorder="1" applyAlignment="1">
      <alignment horizontal="center" vertical="center" wrapText="1" readingOrder="2"/>
    </xf>
    <xf numFmtId="0" fontId="19" fillId="0" borderId="0" xfId="1" applyFont="1" applyBorder="1" applyAlignment="1">
      <alignment horizontal="center" vertical="center" wrapText="1" readingOrder="2"/>
    </xf>
    <xf numFmtId="0" fontId="19" fillId="0" borderId="40" xfId="1" applyFont="1" applyBorder="1" applyAlignment="1">
      <alignment horizontal="center" vertical="center" wrapText="1" readingOrder="2"/>
    </xf>
    <xf numFmtId="0" fontId="19" fillId="0" borderId="36" xfId="1" applyFont="1" applyBorder="1" applyAlignment="1">
      <alignment horizontal="center" vertical="center" wrapText="1" readingOrder="2"/>
    </xf>
    <xf numFmtId="0" fontId="19" fillId="0" borderId="37" xfId="1" applyFont="1" applyBorder="1" applyAlignment="1">
      <alignment horizontal="center" vertical="center" wrapText="1" readingOrder="2"/>
    </xf>
    <xf numFmtId="0" fontId="19" fillId="0" borderId="38" xfId="1" applyFont="1" applyBorder="1" applyAlignment="1">
      <alignment horizontal="center" vertical="center" wrapText="1" readingOrder="2"/>
    </xf>
    <xf numFmtId="1" fontId="25" fillId="13" borderId="8" xfId="1" applyNumberFormat="1" applyFont="1" applyFill="1" applyBorder="1" applyAlignment="1">
      <alignment horizontal="center" vertical="center" shrinkToFit="1"/>
    </xf>
    <xf numFmtId="1" fontId="25" fillId="13" borderId="19" xfId="1" applyNumberFormat="1" applyFont="1" applyFill="1" applyBorder="1" applyAlignment="1">
      <alignment horizontal="center" vertical="center" shrinkToFit="1"/>
    </xf>
    <xf numFmtId="0" fontId="10" fillId="13" borderId="8" xfId="1" applyFont="1" applyFill="1" applyBorder="1" applyAlignment="1">
      <alignment horizontal="right" vertical="center" indent="1" readingOrder="1"/>
    </xf>
    <xf numFmtId="0" fontId="10" fillId="13" borderId="20" xfId="1" applyFont="1" applyFill="1" applyBorder="1" applyAlignment="1">
      <alignment horizontal="right" vertical="center" indent="1" readingOrder="1"/>
    </xf>
    <xf numFmtId="3" fontId="23" fillId="0" borderId="8" xfId="1" applyNumberFormat="1" applyFont="1" applyBorder="1" applyAlignment="1">
      <alignment horizontal="center" vertical="center" shrinkToFit="1"/>
    </xf>
    <xf numFmtId="3" fontId="23" fillId="0" borderId="19" xfId="1" applyNumberFormat="1" applyFont="1" applyBorder="1" applyAlignment="1">
      <alignment horizontal="center" vertical="center" shrinkToFit="1"/>
    </xf>
    <xf numFmtId="0" fontId="10" fillId="0" borderId="8" xfId="1" applyFont="1" applyBorder="1" applyAlignment="1">
      <alignment horizontal="right" vertical="center" indent="1" readingOrder="1"/>
    </xf>
    <xf numFmtId="0" fontId="10" fillId="0" borderId="20" xfId="1" applyFont="1" applyBorder="1" applyAlignment="1">
      <alignment horizontal="right" vertical="center" indent="1" readingOrder="1"/>
    </xf>
    <xf numFmtId="3" fontId="23" fillId="12" borderId="8" xfId="1" applyNumberFormat="1" applyFont="1" applyFill="1" applyBorder="1" applyAlignment="1">
      <alignment horizontal="center" vertical="center" shrinkToFit="1"/>
    </xf>
    <xf numFmtId="3" fontId="23" fillId="12" borderId="19" xfId="1" applyNumberFormat="1" applyFont="1" applyFill="1" applyBorder="1" applyAlignment="1">
      <alignment horizontal="center" vertical="center" shrinkToFit="1"/>
    </xf>
    <xf numFmtId="0" fontId="10" fillId="12" borderId="8" xfId="1" applyFont="1" applyFill="1" applyBorder="1" applyAlignment="1">
      <alignment horizontal="right" vertical="center" indent="1" readingOrder="1"/>
    </xf>
    <xf numFmtId="0" fontId="10" fillId="12" borderId="20" xfId="1" applyFont="1" applyFill="1" applyBorder="1" applyAlignment="1">
      <alignment horizontal="right" vertical="center" indent="1" readingOrder="1"/>
    </xf>
    <xf numFmtId="10" fontId="23" fillId="12" borderId="8" xfId="1" applyNumberFormat="1" applyFont="1" applyFill="1" applyBorder="1" applyAlignment="1">
      <alignment horizontal="center" vertical="center" shrinkToFit="1"/>
    </xf>
    <xf numFmtId="10" fontId="23" fillId="12" borderId="19" xfId="1" applyNumberFormat="1" applyFont="1" applyFill="1" applyBorder="1" applyAlignment="1">
      <alignment horizontal="center" vertical="center" shrinkToFit="1"/>
    </xf>
    <xf numFmtId="0" fontId="10" fillId="6" borderId="8" xfId="1" applyFont="1" applyFill="1" applyBorder="1" applyAlignment="1">
      <alignment horizontal="right" vertical="center" indent="1" readingOrder="1"/>
    </xf>
    <xf numFmtId="0" fontId="10" fillId="6" borderId="20" xfId="1" applyFont="1" applyFill="1" applyBorder="1" applyAlignment="1">
      <alignment horizontal="right" vertical="center" indent="1" readingOrder="1"/>
    </xf>
    <xf numFmtId="3" fontId="25" fillId="0" borderId="8" xfId="1" applyNumberFormat="1" applyFont="1" applyBorder="1" applyAlignment="1">
      <alignment horizontal="center" vertical="center" shrinkToFit="1"/>
    </xf>
    <xf numFmtId="3" fontId="25" fillId="0" borderId="19" xfId="1" applyNumberFormat="1" applyFont="1" applyBorder="1" applyAlignment="1">
      <alignment horizontal="center" vertical="center" shrinkToFit="1"/>
    </xf>
    <xf numFmtId="10" fontId="25" fillId="0" borderId="8" xfId="1" applyNumberFormat="1" applyFont="1" applyBorder="1" applyAlignment="1">
      <alignment horizontal="center" vertical="center" shrinkToFit="1"/>
    </xf>
    <xf numFmtId="10" fontId="25" fillId="0" borderId="27" xfId="1" applyNumberFormat="1" applyFont="1" applyBorder="1" applyAlignment="1">
      <alignment horizontal="center" vertical="center" shrinkToFit="1"/>
    </xf>
    <xf numFmtId="1" fontId="25" fillId="0" borderId="8" xfId="1" applyNumberFormat="1" applyFont="1" applyBorder="1" applyAlignment="1">
      <alignment horizontal="center" vertical="center" shrinkToFit="1"/>
    </xf>
    <xf numFmtId="1" fontId="25" fillId="0" borderId="19" xfId="1" applyNumberFormat="1" applyFont="1" applyBorder="1" applyAlignment="1">
      <alignment horizontal="center" vertical="center" shrinkToFit="1"/>
    </xf>
    <xf numFmtId="166" fontId="26" fillId="0" borderId="8" xfId="1" applyNumberFormat="1" applyFont="1" applyBorder="1" applyAlignment="1">
      <alignment horizontal="center" vertical="center" wrapText="1"/>
    </xf>
    <xf numFmtId="166" fontId="26" fillId="0" borderId="19" xfId="1" applyNumberFormat="1" applyFont="1" applyBorder="1" applyAlignment="1">
      <alignment horizontal="center" vertical="center" wrapText="1"/>
    </xf>
    <xf numFmtId="164" fontId="26" fillId="0" borderId="8" xfId="1" applyNumberFormat="1" applyFont="1" applyBorder="1" applyAlignment="1">
      <alignment horizontal="center" vertical="center" wrapText="1"/>
    </xf>
    <xf numFmtId="164" fontId="26" fillId="0" borderId="19" xfId="1" applyNumberFormat="1" applyFont="1" applyBorder="1" applyAlignment="1">
      <alignment horizontal="center" vertical="center" wrapText="1"/>
    </xf>
    <xf numFmtId="0" fontId="18" fillId="11" borderId="25" xfId="1" applyFont="1" applyFill="1" applyBorder="1" applyAlignment="1">
      <alignment horizontal="center" vertical="center" textRotation="90" wrapText="1" readingOrder="2"/>
    </xf>
    <xf numFmtId="0" fontId="18" fillId="11" borderId="26" xfId="1" applyFont="1" applyFill="1" applyBorder="1" applyAlignment="1">
      <alignment horizontal="center" vertical="center" textRotation="90" wrapText="1" readingOrder="2"/>
    </xf>
    <xf numFmtId="0" fontId="18" fillId="11" borderId="28" xfId="1" applyFont="1" applyFill="1" applyBorder="1" applyAlignment="1">
      <alignment horizontal="center" vertical="center" textRotation="90" wrapText="1" readingOrder="2"/>
    </xf>
    <xf numFmtId="0" fontId="28" fillId="0" borderId="11" xfId="1" applyFont="1" applyBorder="1" applyAlignment="1">
      <alignment horizontal="center" vertical="center" wrapText="1"/>
    </xf>
    <xf numFmtId="0" fontId="28" fillId="0" borderId="29" xfId="1" applyFont="1" applyBorder="1" applyAlignment="1">
      <alignment horizontal="center" vertical="center" wrapText="1"/>
    </xf>
    <xf numFmtId="0" fontId="28" fillId="0" borderId="18" xfId="1" applyFont="1" applyBorder="1" applyAlignment="1">
      <alignment horizontal="center" vertical="center" wrapText="1"/>
    </xf>
    <xf numFmtId="1" fontId="25" fillId="16" borderId="8" xfId="1" applyNumberFormat="1" applyFont="1" applyFill="1" applyBorder="1" applyAlignment="1">
      <alignment horizontal="center" vertical="center" shrinkToFit="1"/>
    </xf>
    <xf numFmtId="1" fontId="25" fillId="16" borderId="27" xfId="1" applyNumberFormat="1" applyFont="1" applyFill="1" applyBorder="1" applyAlignment="1">
      <alignment horizontal="center" vertical="center" shrinkToFit="1"/>
    </xf>
    <xf numFmtId="0" fontId="10" fillId="16" borderId="20" xfId="1" applyFont="1" applyFill="1" applyBorder="1" applyAlignment="1">
      <alignment horizontal="right" vertical="center" indent="1" readingOrder="1"/>
    </xf>
    <xf numFmtId="0" fontId="26" fillId="11" borderId="25" xfId="1" applyFont="1" applyFill="1" applyBorder="1" applyAlignment="1">
      <alignment horizontal="center" vertical="center" textRotation="90" wrapText="1" readingOrder="2"/>
    </xf>
    <xf numFmtId="0" fontId="26" fillId="11" borderId="26" xfId="1" applyFont="1" applyFill="1" applyBorder="1" applyAlignment="1">
      <alignment horizontal="center" vertical="center" textRotation="90" wrapText="1" readingOrder="2"/>
    </xf>
    <xf numFmtId="0" fontId="26" fillId="11" borderId="28" xfId="1" applyFont="1" applyFill="1" applyBorder="1" applyAlignment="1">
      <alignment horizontal="center" vertical="center" textRotation="90" wrapText="1" readingOrder="2"/>
    </xf>
    <xf numFmtId="10" fontId="25" fillId="16" borderId="8" xfId="1" applyNumberFormat="1" applyFont="1" applyFill="1" applyBorder="1" applyAlignment="1">
      <alignment horizontal="center" vertical="center" shrinkToFit="1"/>
    </xf>
    <xf numFmtId="10" fontId="25" fillId="16" borderId="19" xfId="1" applyNumberFormat="1" applyFont="1" applyFill="1" applyBorder="1" applyAlignment="1">
      <alignment horizontal="center" vertical="center" shrinkToFit="1"/>
    </xf>
    <xf numFmtId="0" fontId="10" fillId="16" borderId="8" xfId="1" applyFont="1" applyFill="1" applyBorder="1" applyAlignment="1">
      <alignment horizontal="right" vertical="center" indent="1" readingOrder="1"/>
    </xf>
    <xf numFmtId="1" fontId="25" fillId="16" borderId="19" xfId="1" applyNumberFormat="1" applyFont="1" applyFill="1" applyBorder="1" applyAlignment="1">
      <alignment horizontal="center" vertical="center" shrinkToFit="1"/>
    </xf>
    <xf numFmtId="0" fontId="10" fillId="16" borderId="8" xfId="1" applyFont="1" applyFill="1" applyBorder="1" applyAlignment="1">
      <alignment horizontal="right" vertical="center" indent="1" readingOrder="2"/>
    </xf>
    <xf numFmtId="0" fontId="10" fillId="16" borderId="27" xfId="1" applyFont="1" applyFill="1" applyBorder="1" applyAlignment="1">
      <alignment horizontal="right" vertical="center" indent="1" readingOrder="2"/>
    </xf>
    <xf numFmtId="10" fontId="25" fillId="16" borderId="13" xfId="1" applyNumberFormat="1" applyFont="1" applyFill="1" applyBorder="1" applyAlignment="1">
      <alignment horizontal="center" vertical="center" shrinkToFit="1"/>
    </xf>
    <xf numFmtId="10" fontId="25" fillId="16" borderId="30" xfId="1" applyNumberFormat="1" applyFont="1" applyFill="1" applyBorder="1" applyAlignment="1">
      <alignment horizontal="center" vertical="center" shrinkToFit="1"/>
    </xf>
    <xf numFmtId="3" fontId="23" fillId="0" borderId="15" xfId="1" applyNumberFormat="1" applyFont="1" applyBorder="1" applyAlignment="1">
      <alignment horizontal="center" vertical="center" shrinkToFit="1"/>
    </xf>
    <xf numFmtId="3" fontId="23" fillId="0" borderId="31" xfId="1" applyNumberFormat="1" applyFont="1" applyBorder="1" applyAlignment="1">
      <alignment horizontal="center" vertical="center" shrinkToFit="1"/>
    </xf>
    <xf numFmtId="1" fontId="23" fillId="0" borderId="15" xfId="1" applyNumberFormat="1" applyFont="1" applyBorder="1" applyAlignment="1">
      <alignment horizontal="center" vertical="center" shrinkToFit="1"/>
    </xf>
    <xf numFmtId="1" fontId="23" fillId="0" borderId="31" xfId="1" applyNumberFormat="1" applyFont="1" applyBorder="1" applyAlignment="1">
      <alignment horizontal="center" vertical="center" shrinkToFit="1"/>
    </xf>
    <xf numFmtId="1" fontId="23" fillId="0" borderId="34" xfId="1" applyNumberFormat="1" applyFont="1" applyBorder="1" applyAlignment="1">
      <alignment horizontal="center" vertical="center" shrinkToFit="1"/>
    </xf>
    <xf numFmtId="1" fontId="23" fillId="0" borderId="10" xfId="1" applyNumberFormat="1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right" vertical="center" indent="1" readingOrder="1"/>
    </xf>
    <xf numFmtId="0" fontId="10" fillId="0" borderId="29" xfId="1" applyFont="1" applyBorder="1" applyAlignment="1">
      <alignment horizontal="right" vertical="center" indent="1" readingOrder="1"/>
    </xf>
    <xf numFmtId="3" fontId="23" fillId="0" borderId="7" xfId="1" applyNumberFormat="1" applyFont="1" applyBorder="1" applyAlignment="1">
      <alignment horizontal="center" vertical="center" shrinkToFit="1"/>
    </xf>
    <xf numFmtId="0" fontId="10" fillId="0" borderId="7" xfId="1" applyFont="1" applyBorder="1" applyAlignment="1">
      <alignment horizontal="right" vertical="center" indent="1" readingOrder="1"/>
    </xf>
    <xf numFmtId="0" fontId="21" fillId="0" borderId="15" xfId="1" applyFont="1" applyBorder="1" applyAlignment="1">
      <alignment horizontal="right" vertical="center" wrapText="1" indent="1"/>
    </xf>
    <xf numFmtId="0" fontId="21" fillId="0" borderId="32" xfId="1" applyFont="1" applyBorder="1" applyAlignment="1">
      <alignment horizontal="right" vertical="center" wrapText="1" indent="1"/>
    </xf>
    <xf numFmtId="0" fontId="21" fillId="0" borderId="33" xfId="1" applyFont="1" applyBorder="1" applyAlignment="1">
      <alignment horizontal="right" vertical="center" wrapText="1" indent="1"/>
    </xf>
    <xf numFmtId="0" fontId="21" fillId="14" borderId="8" xfId="1" applyFont="1" applyFill="1" applyBorder="1" applyAlignment="1">
      <alignment horizontal="right" vertical="center" indent="1" readingOrder="2"/>
    </xf>
    <xf numFmtId="0" fontId="21" fillId="14" borderId="20" xfId="1" applyFont="1" applyFill="1" applyBorder="1" applyAlignment="1">
      <alignment horizontal="right" vertical="center" indent="1" readingOrder="2"/>
    </xf>
    <xf numFmtId="4" fontId="25" fillId="14" borderId="8" xfId="1" applyNumberFormat="1" applyFont="1" applyFill="1" applyBorder="1" applyAlignment="1">
      <alignment horizontal="center" vertical="center" shrinkToFit="1"/>
    </xf>
    <xf numFmtId="4" fontId="25" fillId="14" borderId="19" xfId="1" applyNumberFormat="1" applyFont="1" applyFill="1" applyBorder="1" applyAlignment="1">
      <alignment horizontal="center" vertical="center" shrinkToFit="1"/>
    </xf>
    <xf numFmtId="0" fontId="18" fillId="11" borderId="7" xfId="1" applyFont="1" applyFill="1" applyBorder="1" applyAlignment="1">
      <alignment horizontal="center" vertical="center" textRotation="90" wrapText="1" readingOrder="2"/>
    </xf>
    <xf numFmtId="166" fontId="25" fillId="0" borderId="8" xfId="1" applyNumberFormat="1" applyFont="1" applyBorder="1" applyAlignment="1">
      <alignment horizontal="center" vertical="center" shrinkToFit="1"/>
    </xf>
    <xf numFmtId="166" fontId="25" fillId="0" borderId="19" xfId="1" applyNumberFormat="1" applyFont="1" applyBorder="1" applyAlignment="1">
      <alignment horizontal="center" vertical="center" shrinkToFit="1"/>
    </xf>
    <xf numFmtId="0" fontId="10" fillId="0" borderId="27" xfId="1" applyFont="1" applyBorder="1" applyAlignment="1">
      <alignment horizontal="right" vertical="center" indent="1" readingOrder="1"/>
    </xf>
    <xf numFmtId="0" fontId="10" fillId="0" borderId="8" xfId="1" applyFont="1" applyBorder="1" applyAlignment="1">
      <alignment horizontal="right" vertical="center" indent="1" readingOrder="2"/>
    </xf>
    <xf numFmtId="0" fontId="23" fillId="0" borderId="20" xfId="1" applyFont="1" applyBorder="1" applyAlignment="1">
      <alignment horizontal="right" vertical="center" indent="1" readingOrder="2"/>
    </xf>
    <xf numFmtId="3" fontId="25" fillId="14" borderId="8" xfId="1" applyNumberFormat="1" applyFont="1" applyFill="1" applyBorder="1" applyAlignment="1">
      <alignment horizontal="center" vertical="center" shrinkToFit="1"/>
    </xf>
    <xf numFmtId="3" fontId="25" fillId="14" borderId="19" xfId="1" applyNumberFormat="1" applyFont="1" applyFill="1" applyBorder="1" applyAlignment="1">
      <alignment horizontal="center" vertical="center" shrinkToFit="1"/>
    </xf>
    <xf numFmtId="0" fontId="20" fillId="15" borderId="8" xfId="1" applyFont="1" applyFill="1" applyBorder="1" applyAlignment="1">
      <alignment horizontal="center" vertical="center" wrapText="1"/>
    </xf>
    <xf numFmtId="0" fontId="20" fillId="15" borderId="20" xfId="1" applyFont="1" applyFill="1" applyBorder="1" applyAlignment="1">
      <alignment horizontal="center" vertical="center" wrapText="1"/>
    </xf>
    <xf numFmtId="0" fontId="20" fillId="15" borderId="19" xfId="1" applyFont="1" applyFill="1" applyBorder="1" applyAlignment="1">
      <alignment horizontal="center" vertical="center" wrapText="1"/>
    </xf>
    <xf numFmtId="0" fontId="10" fillId="14" borderId="8" xfId="1" applyFont="1" applyFill="1" applyBorder="1" applyAlignment="1">
      <alignment horizontal="right" vertical="center" indent="1" readingOrder="1"/>
    </xf>
    <xf numFmtId="0" fontId="10" fillId="14" borderId="20" xfId="1" applyFont="1" applyFill="1" applyBorder="1" applyAlignment="1">
      <alignment horizontal="right" vertical="center" indent="1" readingOrder="1"/>
    </xf>
    <xf numFmtId="10" fontId="25" fillId="0" borderId="19" xfId="1" applyNumberFormat="1" applyFont="1" applyBorder="1" applyAlignment="1">
      <alignment horizontal="center" vertical="center" shrinkToFit="1"/>
    </xf>
    <xf numFmtId="0" fontId="10" fillId="4" borderId="8" xfId="1" applyFont="1" applyFill="1" applyBorder="1" applyAlignment="1">
      <alignment horizontal="right" vertical="center" indent="1" readingOrder="1"/>
    </xf>
    <xf numFmtId="0" fontId="10" fillId="4" borderId="20" xfId="1" applyFont="1" applyFill="1" applyBorder="1" applyAlignment="1">
      <alignment horizontal="right" vertical="center" indent="1" readingOrder="1"/>
    </xf>
    <xf numFmtId="0" fontId="3" fillId="2" borderId="10" xfId="1" applyFont="1" applyFill="1" applyBorder="1" applyAlignment="1">
      <alignment horizontal="center" vertical="center" textRotation="90" wrapText="1" readingOrder="2"/>
    </xf>
    <xf numFmtId="0" fontId="3" fillId="2" borderId="9" xfId="1" applyFont="1" applyFill="1" applyBorder="1" applyAlignment="1">
      <alignment horizontal="center" vertical="center" textRotation="90" wrapText="1" readingOrder="2"/>
    </xf>
    <xf numFmtId="0" fontId="3" fillId="2" borderId="6" xfId="1" applyFont="1" applyFill="1" applyBorder="1" applyAlignment="1">
      <alignment horizontal="center" vertical="center" textRotation="90" wrapText="1" readingOrder="2"/>
    </xf>
    <xf numFmtId="0" fontId="3" fillId="2" borderId="4" xfId="1" applyFont="1" applyFill="1" applyBorder="1" applyAlignment="1">
      <alignment horizontal="center" vertical="center" textRotation="90" wrapText="1" readingOrder="2"/>
    </xf>
    <xf numFmtId="0" fontId="3" fillId="2" borderId="3" xfId="1" applyFont="1" applyFill="1" applyBorder="1" applyAlignment="1">
      <alignment horizontal="center" vertical="center" textRotation="90" wrapText="1" readingOrder="2"/>
    </xf>
    <xf numFmtId="0" fontId="3" fillId="2" borderId="1" xfId="1" applyFont="1" applyFill="1" applyBorder="1" applyAlignment="1">
      <alignment horizontal="center" vertical="center" textRotation="90" wrapText="1" readingOrder="2"/>
    </xf>
    <xf numFmtId="0" fontId="16" fillId="2" borderId="8" xfId="1" applyFont="1" applyFill="1" applyBorder="1" applyAlignment="1">
      <alignment horizontal="center" vertical="center" wrapText="1" readingOrder="2"/>
    </xf>
    <xf numFmtId="0" fontId="16" fillId="2" borderId="20" xfId="1" applyFont="1" applyFill="1" applyBorder="1" applyAlignment="1">
      <alignment horizontal="center" vertical="center" wrapText="1" readingOrder="2"/>
    </xf>
    <xf numFmtId="0" fontId="16" fillId="2" borderId="19" xfId="1" applyFont="1" applyFill="1" applyBorder="1" applyAlignment="1">
      <alignment horizontal="center" vertical="center" wrapText="1" readingOrder="2"/>
    </xf>
    <xf numFmtId="0" fontId="3" fillId="2" borderId="16" xfId="1" applyFont="1" applyFill="1" applyBorder="1" applyAlignment="1">
      <alignment horizontal="center" vertical="center" wrapText="1" readingOrder="2"/>
    </xf>
    <xf numFmtId="0" fontId="3" fillId="2" borderId="5" xfId="1" applyFont="1" applyFill="1" applyBorder="1" applyAlignment="1">
      <alignment horizontal="center" vertical="center" wrapText="1" readingOrder="2"/>
    </xf>
    <xf numFmtId="0" fontId="3" fillId="2" borderId="11" xfId="1" applyFont="1" applyFill="1" applyBorder="1" applyAlignment="1">
      <alignment horizontal="center" vertical="center" wrapText="1" readingOrder="2"/>
    </xf>
    <xf numFmtId="0" fontId="3" fillId="2" borderId="18" xfId="1" applyFont="1" applyFill="1" applyBorder="1" applyAlignment="1">
      <alignment horizontal="center" vertical="center" wrapText="1" readingOrder="2"/>
    </xf>
    <xf numFmtId="0" fontId="3" fillId="2" borderId="12" xfId="1" applyFont="1" applyFill="1" applyBorder="1" applyAlignment="1">
      <alignment horizontal="center" vertical="center" wrapText="1" readingOrder="2"/>
    </xf>
    <xf numFmtId="0" fontId="3" fillId="2" borderId="17" xfId="1" applyFont="1" applyFill="1" applyBorder="1" applyAlignment="1">
      <alignment horizontal="center" vertical="center" wrapText="1" readingOrder="2"/>
    </xf>
    <xf numFmtId="0" fontId="2" fillId="2" borderId="16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center" vertical="center" textRotation="90" wrapText="1" readingOrder="2"/>
    </xf>
  </cellXfs>
  <cellStyles count="2">
    <cellStyle name="Normal" xfId="0" builtinId="0"/>
    <cellStyle name="Normal 2" xfId="1" xr:uid="{45FAD8F2-8363-42B0-9E7F-EB57B181F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873310</xdr:colOff>
      <xdr:row>0</xdr:row>
      <xdr:rowOff>70895</xdr:rowOff>
    </xdr:from>
    <xdr:to>
      <xdr:col>10</xdr:col>
      <xdr:colOff>297712</xdr:colOff>
      <xdr:row>1</xdr:row>
      <xdr:rowOff>171395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FE7C3-301B-4D4D-AD6F-F1E25A7A0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4638" y="70895"/>
          <a:ext cx="422884" cy="330414"/>
        </a:xfrm>
        <a:prstGeom prst="rect">
          <a:avLst/>
        </a:prstGeom>
      </xdr:spPr>
    </xdr:pic>
    <xdr:clientData/>
  </xdr:twoCellAnchor>
  <xdr:twoCellAnchor>
    <xdr:from>
      <xdr:col>9</xdr:col>
      <xdr:colOff>236482</xdr:colOff>
      <xdr:row>1</xdr:row>
      <xdr:rowOff>152344</xdr:rowOff>
    </xdr:from>
    <xdr:to>
      <xdr:col>11</xdr:col>
      <xdr:colOff>221907</xdr:colOff>
      <xdr:row>2</xdr:row>
      <xdr:rowOff>94968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BBC63F5-A77A-429E-A9D9-6012205402EC}"/>
            </a:ext>
          </a:extLst>
        </xdr:cNvPr>
        <xdr:cNvSpPr txBox="1"/>
      </xdr:nvSpPr>
      <xdr:spPr>
        <a:xfrm>
          <a:off x="5077810" y="382258"/>
          <a:ext cx="1699925" cy="15940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fa-IR" sz="800" b="1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ysClr val="windowText" lastClr="000000">
                    <a:alpha val="40000"/>
                  </a:sys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B Nazanin" panose="00000400000000000000" pitchFamily="2" charset="-78"/>
            </a:rPr>
            <a:t>مجتمع ذوب آهن و فولاد کویر کرمان</a:t>
          </a:r>
          <a:endParaRPr lang="en-US" sz="8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B3F4-88E3-446C-BD7D-AA6319CFC85B}">
  <sheetPr>
    <tabColor theme="6" tint="-0.249977111117893"/>
  </sheetPr>
  <dimension ref="A1:L42"/>
  <sheetViews>
    <sheetView showGridLines="0" view="pageLayout" topLeftCell="B5" zoomScaleNormal="115" workbookViewId="0">
      <selection activeCell="D8" sqref="D8"/>
    </sheetView>
  </sheetViews>
  <sheetFormatPr defaultRowHeight="15.75" x14ac:dyDescent="0.25"/>
  <cols>
    <col min="1" max="1" width="2.85546875" style="47" customWidth="1"/>
    <col min="2" max="2" width="7" style="47" customWidth="1"/>
    <col min="3" max="4" width="8.7109375" style="47" customWidth="1"/>
    <col min="5" max="5" width="8.85546875" style="47" customWidth="1"/>
    <col min="6" max="6" width="8.28515625" style="47" customWidth="1"/>
    <col min="7" max="7" width="7.5703125" style="47" customWidth="1"/>
    <col min="8" max="9" width="7.7109375" style="47" customWidth="1"/>
    <col min="10" max="10" width="14" style="47" customWidth="1"/>
    <col min="11" max="11" width="11.28515625" style="47" customWidth="1"/>
    <col min="12" max="12" width="4.42578125" style="47" customWidth="1"/>
    <col min="13" max="16384" width="9.140625" style="47"/>
  </cols>
  <sheetData>
    <row r="1" spans="1:12" ht="18" customHeight="1" x14ac:dyDescent="0.25">
      <c r="A1" s="82" t="s">
        <v>80</v>
      </c>
      <c r="B1" s="83"/>
      <c r="C1" s="83"/>
      <c r="D1" s="83"/>
      <c r="E1" s="99" t="s">
        <v>40</v>
      </c>
      <c r="F1" s="100"/>
      <c r="G1" s="100"/>
      <c r="H1" s="100"/>
      <c r="I1" s="101"/>
      <c r="J1" s="99"/>
      <c r="K1" s="100"/>
      <c r="L1" s="101"/>
    </row>
    <row r="2" spans="1:12" ht="17.25" customHeight="1" x14ac:dyDescent="0.25">
      <c r="A2" s="164" t="s">
        <v>81</v>
      </c>
      <c r="B2" s="165"/>
      <c r="C2" s="165"/>
      <c r="D2" s="166"/>
      <c r="E2" s="102"/>
      <c r="F2" s="103"/>
      <c r="G2" s="103"/>
      <c r="H2" s="103"/>
      <c r="I2" s="104"/>
      <c r="J2" s="102"/>
      <c r="K2" s="103"/>
      <c r="L2" s="104"/>
    </row>
    <row r="3" spans="1:12" ht="16.5" customHeight="1" x14ac:dyDescent="0.25">
      <c r="A3" s="84" t="s">
        <v>82</v>
      </c>
      <c r="B3" s="84"/>
      <c r="C3" s="84"/>
      <c r="D3" s="84"/>
      <c r="E3" s="105"/>
      <c r="F3" s="106"/>
      <c r="G3" s="106"/>
      <c r="H3" s="106"/>
      <c r="I3" s="107"/>
      <c r="J3" s="105"/>
      <c r="K3" s="106"/>
      <c r="L3" s="107"/>
    </row>
    <row r="4" spans="1:12" ht="16.5" customHeight="1" x14ac:dyDescent="0.25">
      <c r="A4" s="85" t="s">
        <v>74</v>
      </c>
      <c r="B4" s="86"/>
      <c r="C4" s="86"/>
      <c r="D4" s="86"/>
      <c r="E4" s="87"/>
      <c r="F4" s="88" t="s">
        <v>41</v>
      </c>
      <c r="G4" s="89"/>
      <c r="H4" s="89"/>
      <c r="I4" s="90"/>
      <c r="J4" s="91" t="s">
        <v>42</v>
      </c>
      <c r="K4" s="92"/>
      <c r="L4" s="93"/>
    </row>
    <row r="5" spans="1:12" ht="18" customHeight="1" x14ac:dyDescent="0.25">
      <c r="A5" s="97" t="s">
        <v>36</v>
      </c>
      <c r="B5" s="98"/>
      <c r="C5" s="48" t="s">
        <v>43</v>
      </c>
      <c r="D5" s="49" t="s">
        <v>44</v>
      </c>
      <c r="E5" s="49" t="s">
        <v>45</v>
      </c>
      <c r="F5" s="50" t="s">
        <v>46</v>
      </c>
      <c r="G5" s="51" t="s">
        <v>43</v>
      </c>
      <c r="H5" s="51" t="s">
        <v>44</v>
      </c>
      <c r="I5" s="51" t="s">
        <v>45</v>
      </c>
      <c r="J5" s="94"/>
      <c r="K5" s="95"/>
      <c r="L5" s="96"/>
    </row>
    <row r="6" spans="1:12" ht="23.1" customHeight="1" x14ac:dyDescent="0.25">
      <c r="A6" s="112">
        <f t="shared" ref="A6:A11" si="0">SUM(C6:E6)</f>
        <v>0</v>
      </c>
      <c r="B6" s="113"/>
      <c r="C6" s="52"/>
      <c r="D6" s="52"/>
      <c r="E6" s="52"/>
      <c r="F6" s="52">
        <f>SUM(G6:I6)</f>
        <v>0</v>
      </c>
      <c r="G6" s="52"/>
      <c r="H6" s="52"/>
      <c r="I6" s="52"/>
      <c r="J6" s="114" t="s">
        <v>47</v>
      </c>
      <c r="K6" s="115"/>
      <c r="L6" s="134" t="s">
        <v>48</v>
      </c>
    </row>
    <row r="7" spans="1:12" ht="23.1" customHeight="1" x14ac:dyDescent="0.25">
      <c r="A7" s="116">
        <f t="shared" si="0"/>
        <v>0</v>
      </c>
      <c r="B7" s="117"/>
      <c r="C7" s="53"/>
      <c r="D7" s="53"/>
      <c r="E7" s="53"/>
      <c r="F7" s="53">
        <f>SUM(G7:I7)</f>
        <v>0</v>
      </c>
      <c r="G7" s="53"/>
      <c r="H7" s="53"/>
      <c r="I7" s="53"/>
      <c r="J7" s="118" t="s">
        <v>49</v>
      </c>
      <c r="K7" s="119"/>
      <c r="L7" s="135"/>
    </row>
    <row r="8" spans="1:12" ht="23.1" customHeight="1" x14ac:dyDescent="0.25">
      <c r="A8" s="120" t="e">
        <f>AVERAGE(C8:E8)</f>
        <v>#DIV/0!</v>
      </c>
      <c r="B8" s="121"/>
      <c r="C8" s="80"/>
      <c r="D8" s="81"/>
      <c r="E8" s="80"/>
      <c r="F8" s="80" t="e">
        <f>AVERAGE(G8:I8)</f>
        <v>#DIV/0!</v>
      </c>
      <c r="G8" s="80"/>
      <c r="H8" s="81"/>
      <c r="I8" s="80"/>
      <c r="J8" s="122" t="s">
        <v>77</v>
      </c>
      <c r="K8" s="123"/>
      <c r="L8" s="135"/>
    </row>
    <row r="9" spans="1:12" ht="23.1" customHeight="1" x14ac:dyDescent="0.25">
      <c r="A9" s="124">
        <f t="shared" si="0"/>
        <v>0</v>
      </c>
      <c r="B9" s="125"/>
      <c r="C9" s="54"/>
      <c r="D9" s="55"/>
      <c r="E9" s="54"/>
      <c r="F9" s="54">
        <f>SUM(G9:I9)</f>
        <v>0</v>
      </c>
      <c r="G9" s="54"/>
      <c r="H9" s="55"/>
      <c r="I9" s="54"/>
      <c r="J9" s="114" t="s">
        <v>27</v>
      </c>
      <c r="K9" s="115"/>
      <c r="L9" s="135"/>
    </row>
    <row r="10" spans="1:12" ht="23.1" customHeight="1" x14ac:dyDescent="0.25">
      <c r="A10" s="126">
        <f t="shared" si="0"/>
        <v>0</v>
      </c>
      <c r="B10" s="127"/>
      <c r="C10" s="56"/>
      <c r="D10" s="57"/>
      <c r="E10" s="58"/>
      <c r="F10" s="59" t="e">
        <f>AVERAGE(G10:I10)</f>
        <v>#DIV/0!</v>
      </c>
      <c r="G10" s="56"/>
      <c r="H10" s="57"/>
      <c r="I10" s="58"/>
      <c r="J10" s="114" t="s">
        <v>50</v>
      </c>
      <c r="K10" s="115"/>
      <c r="L10" s="135"/>
    </row>
    <row r="11" spans="1:12" ht="23.1" customHeight="1" x14ac:dyDescent="0.25">
      <c r="A11" s="128">
        <f t="shared" si="0"/>
        <v>0</v>
      </c>
      <c r="B11" s="129"/>
      <c r="C11" s="60"/>
      <c r="D11" s="61"/>
      <c r="E11" s="60"/>
      <c r="F11" s="60">
        <f>SUM(G11:I11)</f>
        <v>0</v>
      </c>
      <c r="G11" s="60"/>
      <c r="H11" s="61"/>
      <c r="I11" s="60"/>
      <c r="J11" s="114" t="s">
        <v>51</v>
      </c>
      <c r="K11" s="115"/>
      <c r="L11" s="135"/>
    </row>
    <row r="12" spans="1:12" ht="23.1" customHeight="1" x14ac:dyDescent="0.25">
      <c r="A12" s="108">
        <f>SUM(C12:E12)</f>
        <v>0</v>
      </c>
      <c r="B12" s="109"/>
      <c r="C12" s="62"/>
      <c r="D12" s="62"/>
      <c r="E12" s="62"/>
      <c r="F12" s="62">
        <f>SUM(G12:I12)</f>
        <v>0</v>
      </c>
      <c r="G12" s="62"/>
      <c r="H12" s="62"/>
      <c r="I12" s="62"/>
      <c r="J12" s="110" t="s">
        <v>52</v>
      </c>
      <c r="K12" s="111"/>
      <c r="L12" s="135"/>
    </row>
    <row r="13" spans="1:12" ht="23.1" customHeight="1" x14ac:dyDescent="0.25">
      <c r="A13" s="108">
        <f>SUM(C13:E13)</f>
        <v>0</v>
      </c>
      <c r="B13" s="109"/>
      <c r="C13" s="62"/>
      <c r="D13" s="62"/>
      <c r="E13" s="62"/>
      <c r="F13" s="62">
        <f>SUM(G13:I13)</f>
        <v>0</v>
      </c>
      <c r="G13" s="62"/>
      <c r="H13" s="62"/>
      <c r="I13" s="62"/>
      <c r="J13" s="110" t="s">
        <v>53</v>
      </c>
      <c r="K13" s="111"/>
      <c r="L13" s="135"/>
    </row>
    <row r="14" spans="1:12" ht="23.1" customHeight="1" x14ac:dyDescent="0.25">
      <c r="A14" s="128">
        <f>SUM(C14:E14)</f>
        <v>0</v>
      </c>
      <c r="B14" s="129"/>
      <c r="C14" s="60"/>
      <c r="D14" s="60"/>
      <c r="E14" s="60"/>
      <c r="F14" s="60">
        <f>SUM(G14:I14)</f>
        <v>0</v>
      </c>
      <c r="G14" s="60"/>
      <c r="H14" s="60"/>
      <c r="I14" s="60"/>
      <c r="J14" s="114" t="s">
        <v>54</v>
      </c>
      <c r="K14" s="115"/>
      <c r="L14" s="135"/>
    </row>
    <row r="15" spans="1:12" ht="23.1" customHeight="1" x14ac:dyDescent="0.25">
      <c r="A15" s="130" t="e">
        <f>AVERAGE(C15:E15)</f>
        <v>#DIV/0!</v>
      </c>
      <c r="B15" s="131"/>
      <c r="C15" s="63"/>
      <c r="D15" s="63"/>
      <c r="E15" s="63"/>
      <c r="F15" s="63" t="e">
        <f>AVERAGE(G15:I15)</f>
        <v>#DIV/0!</v>
      </c>
      <c r="G15" s="63"/>
      <c r="H15" s="63"/>
      <c r="I15" s="63"/>
      <c r="J15" s="114" t="s">
        <v>55</v>
      </c>
      <c r="K15" s="115"/>
      <c r="L15" s="135"/>
    </row>
    <row r="16" spans="1:12" ht="23.1" customHeight="1" x14ac:dyDescent="0.25">
      <c r="A16" s="132">
        <f>SUM(C16:E16)</f>
        <v>0</v>
      </c>
      <c r="B16" s="133"/>
      <c r="C16" s="64"/>
      <c r="D16" s="64"/>
      <c r="E16" s="64"/>
      <c r="F16" s="65">
        <f>SUM(G16:I16)</f>
        <v>0</v>
      </c>
      <c r="G16" s="63"/>
      <c r="H16" s="63"/>
      <c r="I16" s="63"/>
      <c r="J16" s="114" t="s">
        <v>56</v>
      </c>
      <c r="K16" s="115"/>
      <c r="L16" s="135"/>
    </row>
    <row r="17" spans="1:12" ht="23.1" customHeight="1" x14ac:dyDescent="0.25">
      <c r="A17" s="169" t="e">
        <f>AVERAGE(C17:E17)</f>
        <v>#DIV/0!</v>
      </c>
      <c r="B17" s="170"/>
      <c r="C17" s="66"/>
      <c r="D17" s="66"/>
      <c r="E17" s="66"/>
      <c r="F17" s="66" t="e">
        <f>AVERAGE(G17:I17)</f>
        <v>#DIV/0!</v>
      </c>
      <c r="G17" s="66"/>
      <c r="H17" s="66"/>
      <c r="I17" s="66"/>
      <c r="J17" s="167" t="s">
        <v>75</v>
      </c>
      <c r="K17" s="168"/>
      <c r="L17" s="135"/>
    </row>
    <row r="18" spans="1:12" ht="23.1" customHeight="1" x14ac:dyDescent="0.25">
      <c r="A18" s="169" t="e">
        <f>AVERAGE(C18:E18)</f>
        <v>#DIV/0!</v>
      </c>
      <c r="B18" s="170"/>
      <c r="C18" s="66"/>
      <c r="D18" s="66"/>
      <c r="E18" s="66"/>
      <c r="F18" s="66" t="e">
        <f>AVERAGE(G18:I18)</f>
        <v>#DIV/0!</v>
      </c>
      <c r="G18" s="66"/>
      <c r="H18" s="66"/>
      <c r="I18" s="66"/>
      <c r="J18" s="167" t="s">
        <v>76</v>
      </c>
      <c r="K18" s="168"/>
      <c r="L18" s="135"/>
    </row>
    <row r="19" spans="1:12" ht="23.1" customHeight="1" x14ac:dyDescent="0.25">
      <c r="A19" s="177" t="e">
        <f>AVERAGE(C19:E19)</f>
        <v>#DIV/0!</v>
      </c>
      <c r="B19" s="178"/>
      <c r="C19" s="67"/>
      <c r="D19" s="68"/>
      <c r="E19" s="68"/>
      <c r="F19" s="179"/>
      <c r="G19" s="180"/>
      <c r="H19" s="180"/>
      <c r="I19" s="181"/>
      <c r="J19" s="182" t="s">
        <v>57</v>
      </c>
      <c r="K19" s="183"/>
      <c r="L19" s="135"/>
    </row>
    <row r="20" spans="1:12" ht="23.1" customHeight="1" x14ac:dyDescent="0.25">
      <c r="A20" s="126" t="e">
        <f>AVERAGE(C20:E20)</f>
        <v>#DIV/0!</v>
      </c>
      <c r="B20" s="184"/>
      <c r="C20" s="59"/>
      <c r="D20" s="59"/>
      <c r="E20" s="59"/>
      <c r="F20" s="59" t="e">
        <f>AVERAGE(G20:I20)</f>
        <v>#DIV/0!</v>
      </c>
      <c r="G20" s="59"/>
      <c r="H20" s="59"/>
      <c r="I20" s="59"/>
      <c r="J20" s="185" t="s">
        <v>78</v>
      </c>
      <c r="K20" s="186"/>
      <c r="L20" s="171" t="s">
        <v>79</v>
      </c>
    </row>
    <row r="21" spans="1:12" ht="23.1" customHeight="1" x14ac:dyDescent="0.25">
      <c r="A21" s="172" t="e">
        <f>AVERAGE(C21:E21)</f>
        <v>#DIV/0!</v>
      </c>
      <c r="B21" s="173"/>
      <c r="C21" s="69"/>
      <c r="D21" s="69"/>
      <c r="E21" s="69"/>
      <c r="F21" s="69" t="e">
        <f>AVERAGE(H21:I21)</f>
        <v>#DIV/0!</v>
      </c>
      <c r="G21" s="69"/>
      <c r="H21" s="69"/>
      <c r="I21" s="69"/>
      <c r="J21" s="114" t="s">
        <v>58</v>
      </c>
      <c r="K21" s="174"/>
      <c r="L21" s="171"/>
    </row>
    <row r="22" spans="1:12" ht="23.1" customHeight="1" x14ac:dyDescent="0.25">
      <c r="A22" s="132">
        <f t="shared" ref="A22:A29" si="1">SUM(C22:E22)</f>
        <v>0</v>
      </c>
      <c r="B22" s="133"/>
      <c r="C22" s="64"/>
      <c r="D22" s="64"/>
      <c r="E22" s="64"/>
      <c r="F22" s="63">
        <f>SUM(G22:I22)</f>
        <v>0</v>
      </c>
      <c r="G22" s="63"/>
      <c r="H22" s="63"/>
      <c r="I22" s="63"/>
      <c r="J22" s="175" t="s">
        <v>59</v>
      </c>
      <c r="K22" s="176"/>
      <c r="L22" s="171"/>
    </row>
    <row r="23" spans="1:12" ht="23.1" customHeight="1" x14ac:dyDescent="0.25">
      <c r="A23" s="130">
        <f t="shared" si="1"/>
        <v>0</v>
      </c>
      <c r="B23" s="131"/>
      <c r="C23" s="63"/>
      <c r="D23" s="63"/>
      <c r="E23" s="63"/>
      <c r="F23" s="63">
        <f>SUM(G23:I23)</f>
        <v>0</v>
      </c>
      <c r="G23" s="63"/>
      <c r="H23" s="63"/>
      <c r="I23" s="63"/>
      <c r="J23" s="114" t="s">
        <v>60</v>
      </c>
      <c r="K23" s="115"/>
      <c r="L23" s="134" t="s">
        <v>3</v>
      </c>
    </row>
    <row r="24" spans="1:12" ht="23.1" customHeight="1" x14ac:dyDescent="0.25">
      <c r="A24" s="132">
        <f t="shared" si="1"/>
        <v>0</v>
      </c>
      <c r="B24" s="133"/>
      <c r="C24" s="63"/>
      <c r="D24" s="63"/>
      <c r="E24" s="63"/>
      <c r="F24" s="63">
        <f>SUM(G24:I24)</f>
        <v>0</v>
      </c>
      <c r="G24" s="63"/>
      <c r="H24" s="63"/>
      <c r="I24" s="63"/>
      <c r="J24" s="114" t="s">
        <v>61</v>
      </c>
      <c r="K24" s="115"/>
      <c r="L24" s="135"/>
    </row>
    <row r="25" spans="1:12" ht="23.1" customHeight="1" x14ac:dyDescent="0.25">
      <c r="A25" s="132">
        <f t="shared" si="1"/>
        <v>0</v>
      </c>
      <c r="B25" s="133"/>
      <c r="C25" s="63"/>
      <c r="D25" s="63"/>
      <c r="E25" s="63"/>
      <c r="F25" s="63">
        <f>SUM(G25:I25)</f>
        <v>0</v>
      </c>
      <c r="G25" s="63"/>
      <c r="H25" s="63"/>
      <c r="I25" s="63"/>
      <c r="J25" s="114" t="s">
        <v>62</v>
      </c>
      <c r="K25" s="115"/>
      <c r="L25" s="135"/>
    </row>
    <row r="26" spans="1:12" ht="23.1" customHeight="1" x14ac:dyDescent="0.25">
      <c r="A26" s="128">
        <f t="shared" si="1"/>
        <v>0</v>
      </c>
      <c r="B26" s="129"/>
      <c r="C26" s="70"/>
      <c r="D26" s="60"/>
      <c r="E26" s="60"/>
      <c r="F26" s="137"/>
      <c r="G26" s="138"/>
      <c r="H26" s="138"/>
      <c r="I26" s="139"/>
      <c r="J26" s="114" t="s">
        <v>63</v>
      </c>
      <c r="K26" s="115"/>
      <c r="L26" s="136"/>
    </row>
    <row r="27" spans="1:12" ht="23.1" customHeight="1" x14ac:dyDescent="0.25">
      <c r="A27" s="140">
        <f t="shared" si="1"/>
        <v>0</v>
      </c>
      <c r="B27" s="141"/>
      <c r="C27" s="71"/>
      <c r="D27" s="71"/>
      <c r="E27" s="71"/>
      <c r="F27" s="71">
        <f>SUM(G27:I27)</f>
        <v>0</v>
      </c>
      <c r="G27" s="71"/>
      <c r="H27" s="71"/>
      <c r="I27" s="71"/>
      <c r="J27" s="142" t="s">
        <v>64</v>
      </c>
      <c r="K27" s="142"/>
      <c r="L27" s="143" t="s">
        <v>65</v>
      </c>
    </row>
    <row r="28" spans="1:12" ht="23.1" customHeight="1" x14ac:dyDescent="0.25">
      <c r="A28" s="146">
        <f t="shared" si="1"/>
        <v>0</v>
      </c>
      <c r="B28" s="147"/>
      <c r="C28" s="72"/>
      <c r="D28" s="72"/>
      <c r="E28" s="72"/>
      <c r="F28" s="73" t="e">
        <f>AVERAGE(G28:I28)</f>
        <v>#DIV/0!</v>
      </c>
      <c r="G28" s="72"/>
      <c r="H28" s="72"/>
      <c r="I28" s="72"/>
      <c r="J28" s="148" t="s">
        <v>66</v>
      </c>
      <c r="K28" s="142"/>
      <c r="L28" s="144"/>
    </row>
    <row r="29" spans="1:12" ht="23.1" customHeight="1" x14ac:dyDescent="0.25">
      <c r="A29" s="140">
        <f t="shared" si="1"/>
        <v>0</v>
      </c>
      <c r="B29" s="149"/>
      <c r="C29" s="74"/>
      <c r="D29" s="74"/>
      <c r="E29" s="74"/>
      <c r="F29" s="74">
        <f>SUM(G29:I29)</f>
        <v>0</v>
      </c>
      <c r="G29" s="74"/>
      <c r="H29" s="74"/>
      <c r="I29" s="74"/>
      <c r="J29" s="150" t="s">
        <v>67</v>
      </c>
      <c r="K29" s="151"/>
      <c r="L29" s="144"/>
    </row>
    <row r="30" spans="1:12" ht="23.1" customHeight="1" x14ac:dyDescent="0.25">
      <c r="A30" s="152">
        <f>SUM(E30)</f>
        <v>0</v>
      </c>
      <c r="B30" s="153"/>
      <c r="C30" s="75"/>
      <c r="D30" s="75"/>
      <c r="E30" s="75"/>
      <c r="F30" s="76" t="e">
        <f>AVERAGE(G30:I30)</f>
        <v>#DIV/0!</v>
      </c>
      <c r="G30" s="75"/>
      <c r="H30" s="75"/>
      <c r="I30" s="75"/>
      <c r="J30" s="148" t="s">
        <v>68</v>
      </c>
      <c r="K30" s="142"/>
      <c r="L30" s="145"/>
    </row>
    <row r="31" spans="1:12" ht="23.1" customHeight="1" x14ac:dyDescent="0.25">
      <c r="A31" s="154">
        <f>SUM(C31:E31)</f>
        <v>0</v>
      </c>
      <c r="B31" s="155"/>
      <c r="C31" s="54"/>
      <c r="D31" s="54"/>
      <c r="E31" s="54"/>
      <c r="F31" s="60">
        <f>SUM(G31:I31)</f>
        <v>0</v>
      </c>
      <c r="G31" s="60"/>
      <c r="H31" s="60"/>
      <c r="I31" s="60"/>
      <c r="J31" s="114" t="s">
        <v>69</v>
      </c>
      <c r="K31" s="115"/>
      <c r="L31" s="134" t="s">
        <v>70</v>
      </c>
    </row>
    <row r="32" spans="1:12" ht="23.1" customHeight="1" x14ac:dyDescent="0.25">
      <c r="A32" s="156">
        <f>SUM(C32:E32)</f>
        <v>0</v>
      </c>
      <c r="B32" s="157"/>
      <c r="C32" s="60"/>
      <c r="D32" s="60"/>
      <c r="E32" s="60"/>
      <c r="F32" s="60">
        <f>SUM(G32:I32)</f>
        <v>0</v>
      </c>
      <c r="G32" s="60"/>
      <c r="H32" s="60"/>
      <c r="I32" s="60"/>
      <c r="J32" s="114" t="s">
        <v>71</v>
      </c>
      <c r="K32" s="115"/>
      <c r="L32" s="135"/>
    </row>
    <row r="33" spans="1:12" ht="23.1" customHeight="1" x14ac:dyDescent="0.25">
      <c r="A33" s="158">
        <f>SUM(C33:E33)</f>
        <v>0</v>
      </c>
      <c r="B33" s="159"/>
      <c r="C33" s="77"/>
      <c r="D33" s="77"/>
      <c r="E33" s="77"/>
      <c r="F33" s="77">
        <f>SUM(G33:I33)</f>
        <v>0</v>
      </c>
      <c r="G33" s="77"/>
      <c r="H33" s="77"/>
      <c r="I33" s="77"/>
      <c r="J33" s="160" t="s">
        <v>72</v>
      </c>
      <c r="K33" s="161"/>
      <c r="L33" s="135"/>
    </row>
    <row r="34" spans="1:12" ht="23.1" customHeight="1" x14ac:dyDescent="0.25">
      <c r="A34" s="162">
        <f>SUM(C34:E34)</f>
        <v>0</v>
      </c>
      <c r="B34" s="162"/>
      <c r="C34" s="78"/>
      <c r="D34" s="78"/>
      <c r="E34" s="78"/>
      <c r="F34" s="79">
        <f>SUM(G34:I34)</f>
        <v>0</v>
      </c>
      <c r="G34" s="79"/>
      <c r="H34" s="79"/>
      <c r="I34" s="79"/>
      <c r="J34" s="163" t="s">
        <v>73</v>
      </c>
      <c r="K34" s="163"/>
      <c r="L34" s="136"/>
    </row>
    <row r="35" spans="1:12" ht="22.5" customHeight="1" x14ac:dyDescent="0.25"/>
    <row r="36" spans="1:12" ht="35.25" customHeight="1" x14ac:dyDescent="0.25"/>
    <row r="37" spans="1:12" ht="30.75" customHeight="1" x14ac:dyDescent="0.25"/>
    <row r="38" spans="1:12" ht="23.1" customHeight="1" x14ac:dyDescent="0.25"/>
    <row r="39" spans="1:12" ht="23.1" customHeight="1" x14ac:dyDescent="0.25"/>
    <row r="40" spans="1:12" ht="23.1" customHeight="1" x14ac:dyDescent="0.25"/>
    <row r="41" spans="1:12" ht="23.1" customHeight="1" x14ac:dyDescent="0.25"/>
    <row r="42" spans="1:12" ht="23.1" customHeight="1" x14ac:dyDescent="0.25"/>
  </sheetData>
  <mergeCells count="74">
    <mergeCell ref="J17:K17"/>
    <mergeCell ref="A17:B17"/>
    <mergeCell ref="L6:L19"/>
    <mergeCell ref="L20:L22"/>
    <mergeCell ref="A21:B21"/>
    <mergeCell ref="J21:K21"/>
    <mergeCell ref="A22:B22"/>
    <mergeCell ref="J22:K22"/>
    <mergeCell ref="A18:B18"/>
    <mergeCell ref="J18:K18"/>
    <mergeCell ref="A19:B19"/>
    <mergeCell ref="F19:I19"/>
    <mergeCell ref="J19:K19"/>
    <mergeCell ref="A20:B20"/>
    <mergeCell ref="J20:K20"/>
    <mergeCell ref="A31:B31"/>
    <mergeCell ref="J31:K31"/>
    <mergeCell ref="L31:L34"/>
    <mergeCell ref="A32:B32"/>
    <mergeCell ref="J32:K32"/>
    <mergeCell ref="A33:B33"/>
    <mergeCell ref="J33:K33"/>
    <mergeCell ref="A34:B34"/>
    <mergeCell ref="J34:K34"/>
    <mergeCell ref="A27:B27"/>
    <mergeCell ref="J27:K27"/>
    <mergeCell ref="L27:L30"/>
    <mergeCell ref="A28:B28"/>
    <mergeCell ref="J28:K28"/>
    <mergeCell ref="A29:B29"/>
    <mergeCell ref="J29:K29"/>
    <mergeCell ref="A30:B30"/>
    <mergeCell ref="J30:K30"/>
    <mergeCell ref="L23:L26"/>
    <mergeCell ref="A24:B24"/>
    <mergeCell ref="J24:K24"/>
    <mergeCell ref="A25:B25"/>
    <mergeCell ref="J25:K25"/>
    <mergeCell ref="A26:B26"/>
    <mergeCell ref="F26:I26"/>
    <mergeCell ref="J26:K26"/>
    <mergeCell ref="A23:B23"/>
    <mergeCell ref="J23:K23"/>
    <mergeCell ref="A14:B14"/>
    <mergeCell ref="J14:K14"/>
    <mergeCell ref="A15:B15"/>
    <mergeCell ref="J15:K15"/>
    <mergeCell ref="A16:B16"/>
    <mergeCell ref="J16:K16"/>
    <mergeCell ref="A13:B13"/>
    <mergeCell ref="J13:K13"/>
    <mergeCell ref="A6:B6"/>
    <mergeCell ref="J6:K6"/>
    <mergeCell ref="A7:B7"/>
    <mergeCell ref="J7:K7"/>
    <mergeCell ref="A8:B8"/>
    <mergeCell ref="J8:K8"/>
    <mergeCell ref="A9:B9"/>
    <mergeCell ref="J9:K9"/>
    <mergeCell ref="A10:B10"/>
    <mergeCell ref="J10:K10"/>
    <mergeCell ref="A11:B11"/>
    <mergeCell ref="J11:K11"/>
    <mergeCell ref="A12:B12"/>
    <mergeCell ref="J12:K12"/>
    <mergeCell ref="A1:D1"/>
    <mergeCell ref="A3:D3"/>
    <mergeCell ref="A4:E4"/>
    <mergeCell ref="F4:I4"/>
    <mergeCell ref="J4:L5"/>
    <mergeCell ref="A5:B5"/>
    <mergeCell ref="J1:L3"/>
    <mergeCell ref="E1:I3"/>
    <mergeCell ref="A2:D2"/>
  </mergeCells>
  <printOptions horizont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F27C-AB5E-4A14-88C6-EE3D98E30C39}">
  <dimension ref="A1:K46"/>
  <sheetViews>
    <sheetView tabSelected="1" zoomScale="115" zoomScaleNormal="115" workbookViewId="0">
      <selection activeCell="B29" sqref="B29"/>
    </sheetView>
  </sheetViews>
  <sheetFormatPr defaultRowHeight="15.75" x14ac:dyDescent="0.25"/>
  <cols>
    <col min="1" max="1" width="15.7109375" style="1" customWidth="1"/>
    <col min="2" max="2" width="11.7109375" style="1" customWidth="1"/>
    <col min="3" max="3" width="11.42578125" style="1" customWidth="1"/>
    <col min="4" max="4" width="11.140625" style="1" customWidth="1"/>
    <col min="5" max="5" width="34.140625" style="1" customWidth="1"/>
    <col min="6" max="6" width="6.140625" style="1" customWidth="1"/>
    <col min="7" max="7" width="7.5703125" style="1" customWidth="1"/>
    <col min="8" max="16384" width="9.140625" style="1"/>
  </cols>
  <sheetData>
    <row r="1" spans="1:7" ht="42.75" customHeight="1" x14ac:dyDescent="0.25">
      <c r="A1" s="193" t="s">
        <v>83</v>
      </c>
      <c r="B1" s="194"/>
      <c r="C1" s="194"/>
      <c r="D1" s="194"/>
      <c r="E1" s="194"/>
      <c r="F1" s="194"/>
      <c r="G1" s="195"/>
    </row>
    <row r="2" spans="1:7" ht="18" customHeight="1" x14ac:dyDescent="0.25">
      <c r="A2" s="196" t="s">
        <v>36</v>
      </c>
      <c r="B2" s="18" t="s">
        <v>35</v>
      </c>
      <c r="C2" s="18" t="s">
        <v>35</v>
      </c>
      <c r="D2" s="18" t="s">
        <v>35</v>
      </c>
      <c r="E2" s="198" t="s">
        <v>34</v>
      </c>
      <c r="F2" s="199"/>
      <c r="G2" s="202"/>
    </row>
    <row r="3" spans="1:7" ht="17.25" customHeight="1" x14ac:dyDescent="0.25">
      <c r="A3" s="197"/>
      <c r="B3" s="17" t="s">
        <v>33</v>
      </c>
      <c r="C3" s="16" t="s">
        <v>32</v>
      </c>
      <c r="D3" s="15" t="s">
        <v>31</v>
      </c>
      <c r="E3" s="200"/>
      <c r="F3" s="201"/>
      <c r="G3" s="203"/>
    </row>
    <row r="4" spans="1:7" ht="24.75" customHeight="1" x14ac:dyDescent="0.25">
      <c r="A4" s="21">
        <f>SUM(B4:D4)</f>
        <v>3066470</v>
      </c>
      <c r="B4" s="21">
        <v>988875</v>
      </c>
      <c r="C4" s="31">
        <v>1062495</v>
      </c>
      <c r="D4" s="31">
        <v>1015100</v>
      </c>
      <c r="E4" s="13" t="s">
        <v>30</v>
      </c>
      <c r="F4" s="3">
        <v>1</v>
      </c>
      <c r="G4" s="204" t="s">
        <v>29</v>
      </c>
    </row>
    <row r="5" spans="1:7" ht="23.25" customHeight="1" x14ac:dyDescent="0.25">
      <c r="A5" s="21">
        <f>SUM(B5:D5)</f>
        <v>3014470</v>
      </c>
      <c r="B5" s="21">
        <v>973875</v>
      </c>
      <c r="C5" s="31">
        <v>1045495</v>
      </c>
      <c r="D5" s="31">
        <v>995100</v>
      </c>
      <c r="E5" s="4" t="s">
        <v>28</v>
      </c>
      <c r="F5" s="3">
        <v>2</v>
      </c>
      <c r="G5" s="191"/>
    </row>
    <row r="6" spans="1:7" ht="23.25" customHeight="1" x14ac:dyDescent="0.25">
      <c r="A6" s="21">
        <f>SUM(B6:D6)</f>
        <v>52000</v>
      </c>
      <c r="B6" s="21">
        <v>15000</v>
      </c>
      <c r="C6" s="31">
        <v>17000</v>
      </c>
      <c r="D6" s="31">
        <v>20000</v>
      </c>
      <c r="E6" s="14" t="s">
        <v>27</v>
      </c>
      <c r="F6" s="3">
        <v>3</v>
      </c>
      <c r="G6" s="191"/>
    </row>
    <row r="7" spans="1:7" ht="23.25" customHeight="1" x14ac:dyDescent="0.25">
      <c r="A7" s="22">
        <f>AVERAGE(B7:D7)</f>
        <v>1.6966666666666668E-2</v>
      </c>
      <c r="B7" s="22">
        <v>1.52E-2</v>
      </c>
      <c r="C7" s="32">
        <v>1.6E-2</v>
      </c>
      <c r="D7" s="32">
        <v>1.9699999999999999E-2</v>
      </c>
      <c r="E7" s="14" t="s">
        <v>26</v>
      </c>
      <c r="F7" s="3">
        <v>4</v>
      </c>
      <c r="G7" s="191"/>
    </row>
    <row r="8" spans="1:7" ht="23.25" customHeight="1" x14ac:dyDescent="0.25">
      <c r="A8" s="23">
        <v>27</v>
      </c>
      <c r="B8" s="22" t="s">
        <v>15</v>
      </c>
      <c r="C8" s="32" t="s">
        <v>15</v>
      </c>
      <c r="D8" s="32" t="s">
        <v>15</v>
      </c>
      <c r="E8" s="4" t="s">
        <v>39</v>
      </c>
      <c r="F8" s="3">
        <v>5</v>
      </c>
      <c r="G8" s="191"/>
    </row>
    <row r="9" spans="1:7" ht="24.75" customHeight="1" x14ac:dyDescent="0.25">
      <c r="A9" s="21">
        <f>SUM(B9:D9)</f>
        <v>54</v>
      </c>
      <c r="B9" s="21">
        <v>18</v>
      </c>
      <c r="C9" s="31">
        <v>18</v>
      </c>
      <c r="D9" s="31">
        <v>18</v>
      </c>
      <c r="E9" s="4" t="s">
        <v>25</v>
      </c>
      <c r="F9" s="3">
        <v>6</v>
      </c>
      <c r="G9" s="191"/>
    </row>
    <row r="10" spans="1:7" ht="24.75" customHeight="1" x14ac:dyDescent="0.25">
      <c r="A10" s="23">
        <f>SUM(B10:D10)</f>
        <v>134</v>
      </c>
      <c r="B10" s="23">
        <v>44</v>
      </c>
      <c r="C10" s="33">
        <v>48</v>
      </c>
      <c r="D10" s="33">
        <v>42</v>
      </c>
      <c r="E10" s="4" t="s">
        <v>24</v>
      </c>
      <c r="F10" s="3">
        <v>7</v>
      </c>
      <c r="G10" s="191"/>
    </row>
    <row r="11" spans="1:7" ht="24.75" customHeight="1" x14ac:dyDescent="0.25">
      <c r="A11" s="23">
        <f>SUM(B11:D11)</f>
        <v>4</v>
      </c>
      <c r="B11" s="23">
        <v>2</v>
      </c>
      <c r="C11" s="33">
        <v>1</v>
      </c>
      <c r="D11" s="33">
        <v>1</v>
      </c>
      <c r="E11" s="4" t="s">
        <v>23</v>
      </c>
      <c r="F11" s="3">
        <v>8</v>
      </c>
      <c r="G11" s="191"/>
    </row>
    <row r="12" spans="1:7" ht="24.75" customHeight="1" x14ac:dyDescent="0.25">
      <c r="A12" s="23">
        <f>SUM(B12:D12)</f>
        <v>5</v>
      </c>
      <c r="B12" s="23">
        <v>3</v>
      </c>
      <c r="C12" s="33">
        <v>1</v>
      </c>
      <c r="D12" s="33">
        <v>1</v>
      </c>
      <c r="E12" s="4" t="s">
        <v>22</v>
      </c>
      <c r="F12" s="3">
        <v>9</v>
      </c>
      <c r="G12" s="191"/>
    </row>
    <row r="13" spans="1:7" ht="25.5" customHeight="1" x14ac:dyDescent="0.25">
      <c r="A13" s="24">
        <f>AVERAGE(B13:D13)</f>
        <v>0.1958333333333333</v>
      </c>
      <c r="B13" s="34">
        <v>0.19305555555555554</v>
      </c>
      <c r="C13" s="35">
        <v>0.19513888888888889</v>
      </c>
      <c r="D13" s="35">
        <v>0.19930555555555554</v>
      </c>
      <c r="E13" s="4" t="s">
        <v>21</v>
      </c>
      <c r="F13" s="3">
        <v>10</v>
      </c>
      <c r="G13" s="191"/>
    </row>
    <row r="14" spans="1:7" ht="24.75" customHeight="1" x14ac:dyDescent="0.25">
      <c r="A14" s="25">
        <f>SUM(B14:D14)</f>
        <v>25.61944444444444</v>
      </c>
      <c r="B14" s="25">
        <v>8.4430555555555546</v>
      </c>
      <c r="C14" s="36">
        <v>8.9118055555555546</v>
      </c>
      <c r="D14" s="36">
        <v>8.2645833333333325</v>
      </c>
      <c r="E14" s="4" t="s">
        <v>20</v>
      </c>
      <c r="F14" s="3">
        <v>11</v>
      </c>
      <c r="G14" s="191"/>
    </row>
    <row r="15" spans="1:7" ht="24.75" customHeight="1" x14ac:dyDescent="0.25">
      <c r="A15" s="26">
        <f>AVERAGE(B15:D15)</f>
        <v>83.38</v>
      </c>
      <c r="B15" s="26">
        <v>81.599999999999994</v>
      </c>
      <c r="C15" s="37">
        <v>83.1</v>
      </c>
      <c r="D15" s="37">
        <v>85.44</v>
      </c>
      <c r="E15" s="13" t="s">
        <v>19</v>
      </c>
      <c r="F15" s="3">
        <v>12</v>
      </c>
      <c r="G15" s="191"/>
    </row>
    <row r="16" spans="1:7" ht="23.25" customHeight="1" x14ac:dyDescent="0.25">
      <c r="A16" s="27">
        <f>AVERAGE(B16:D16)</f>
        <v>88.203333333333333</v>
      </c>
      <c r="B16" s="26">
        <v>86.79</v>
      </c>
      <c r="C16" s="37">
        <v>88.98</v>
      </c>
      <c r="D16" s="37">
        <v>88.84</v>
      </c>
      <c r="E16" s="13" t="s">
        <v>18</v>
      </c>
      <c r="F16" s="3">
        <v>13</v>
      </c>
      <c r="G16" s="191"/>
    </row>
    <row r="17" spans="1:11" ht="25.5" customHeight="1" x14ac:dyDescent="0.25">
      <c r="A17" s="21">
        <f>AVERAGE(B17:D17)</f>
        <v>56786.666666666664</v>
      </c>
      <c r="B17" s="21">
        <v>54938</v>
      </c>
      <c r="C17" s="31">
        <v>59028</v>
      </c>
      <c r="D17" s="31">
        <v>56394</v>
      </c>
      <c r="E17" s="12" t="s">
        <v>17</v>
      </c>
      <c r="F17" s="3">
        <v>14</v>
      </c>
      <c r="G17" s="191"/>
    </row>
    <row r="18" spans="1:11" ht="24" customHeight="1" x14ac:dyDescent="0.25">
      <c r="A18" s="21" t="s">
        <v>15</v>
      </c>
      <c r="B18" s="21">
        <v>22050</v>
      </c>
      <c r="C18" s="31">
        <v>44100</v>
      </c>
      <c r="D18" s="31">
        <v>24150</v>
      </c>
      <c r="E18" s="12" t="s">
        <v>16</v>
      </c>
      <c r="F18" s="3">
        <v>15</v>
      </c>
      <c r="G18" s="191"/>
    </row>
    <row r="19" spans="1:11" ht="24" customHeight="1" x14ac:dyDescent="0.25">
      <c r="A19" s="21" t="s">
        <v>15</v>
      </c>
      <c r="B19" s="21">
        <v>80500</v>
      </c>
      <c r="C19" s="31">
        <v>72450</v>
      </c>
      <c r="D19" s="31">
        <v>72275</v>
      </c>
      <c r="E19" s="11" t="s">
        <v>14</v>
      </c>
      <c r="F19" s="3">
        <v>16</v>
      </c>
      <c r="G19" s="191"/>
    </row>
    <row r="20" spans="1:11" ht="24.75" customHeight="1" x14ac:dyDescent="0.25">
      <c r="A20" s="25">
        <f>SUM(B20:D20)</f>
        <v>4.3090277777777786</v>
      </c>
      <c r="B20" s="25">
        <v>1.3784722222222223</v>
      </c>
      <c r="C20" s="36">
        <v>1.5729166666666667</v>
      </c>
      <c r="D20" s="38">
        <v>1.3576388888888891</v>
      </c>
      <c r="E20" s="19" t="s">
        <v>38</v>
      </c>
      <c r="F20" s="3">
        <v>17</v>
      </c>
      <c r="G20" s="191"/>
    </row>
    <row r="21" spans="1:11" ht="24.75" customHeight="1" x14ac:dyDescent="0.25">
      <c r="A21" s="28">
        <f>AVERAGE(B21:D21)</f>
        <v>7.7546296296296294E-2</v>
      </c>
      <c r="B21" s="28">
        <v>7.0833333333333331E-2</v>
      </c>
      <c r="C21" s="39">
        <v>8.6805555555555566E-2</v>
      </c>
      <c r="D21" s="40">
        <v>7.4999999999999997E-2</v>
      </c>
      <c r="E21" s="20" t="s">
        <v>37</v>
      </c>
      <c r="F21" s="3">
        <v>18</v>
      </c>
      <c r="G21" s="192"/>
    </row>
    <row r="22" spans="1:11" ht="24" customHeight="1" x14ac:dyDescent="0.25">
      <c r="A22" s="29">
        <f>SUM(B22:D22)</f>
        <v>32314</v>
      </c>
      <c r="B22" s="29">
        <v>10282</v>
      </c>
      <c r="C22" s="41">
        <v>11360</v>
      </c>
      <c r="D22" s="41">
        <v>10672</v>
      </c>
      <c r="E22" s="10" t="s">
        <v>13</v>
      </c>
      <c r="F22" s="3">
        <v>19</v>
      </c>
      <c r="G22" s="188" t="s">
        <v>12</v>
      </c>
    </row>
    <row r="23" spans="1:11" ht="25.5" customHeight="1" x14ac:dyDescent="0.25">
      <c r="A23" s="21">
        <f>SUM(B23:D23)</f>
        <v>677</v>
      </c>
      <c r="B23" s="21">
        <v>150</v>
      </c>
      <c r="C23" s="33">
        <v>187</v>
      </c>
      <c r="D23" s="33">
        <v>340</v>
      </c>
      <c r="E23" s="9" t="s">
        <v>11</v>
      </c>
      <c r="F23" s="3">
        <v>20</v>
      </c>
      <c r="G23" s="188"/>
    </row>
    <row r="24" spans="1:11" ht="25.5" customHeight="1" x14ac:dyDescent="0.25">
      <c r="A24" s="21">
        <f>SUM(B24:D24)</f>
        <v>1711</v>
      </c>
      <c r="B24" s="21">
        <v>733</v>
      </c>
      <c r="C24" s="31">
        <v>455</v>
      </c>
      <c r="D24" s="31">
        <v>523</v>
      </c>
      <c r="E24" s="9" t="s">
        <v>10</v>
      </c>
      <c r="F24" s="3">
        <v>21</v>
      </c>
      <c r="G24" s="188"/>
    </row>
    <row r="25" spans="1:11" ht="25.5" customHeight="1" x14ac:dyDescent="0.25">
      <c r="A25" s="21">
        <f>SUM(B25:D25)</f>
        <v>1392</v>
      </c>
      <c r="B25" s="23">
        <v>450</v>
      </c>
      <c r="C25" s="33">
        <v>482</v>
      </c>
      <c r="D25" s="33">
        <v>460</v>
      </c>
      <c r="E25" s="7" t="s">
        <v>7</v>
      </c>
      <c r="F25" s="3">
        <v>22</v>
      </c>
      <c r="G25" s="187" t="s">
        <v>8</v>
      </c>
    </row>
    <row r="26" spans="1:11" ht="25.5" customHeight="1" x14ac:dyDescent="0.25">
      <c r="A26" s="22">
        <f>AVERAGE(B26:D26)</f>
        <v>0.92779999999999996</v>
      </c>
      <c r="B26" s="22">
        <v>0.9395</v>
      </c>
      <c r="C26" s="32">
        <v>0.91459999999999997</v>
      </c>
      <c r="D26" s="43">
        <v>0.92930000000000001</v>
      </c>
      <c r="E26" s="8" t="s">
        <v>9</v>
      </c>
      <c r="F26" s="3">
        <v>23</v>
      </c>
      <c r="G26" s="188"/>
      <c r="K26" s="5"/>
    </row>
    <row r="27" spans="1:11" ht="25.5" customHeight="1" x14ac:dyDescent="0.25">
      <c r="A27" s="21">
        <f>SUM(B27:D27)</f>
        <v>109</v>
      </c>
      <c r="B27" s="21">
        <v>29</v>
      </c>
      <c r="C27" s="31">
        <v>45</v>
      </c>
      <c r="D27" s="42">
        <v>35</v>
      </c>
      <c r="E27" s="7" t="s">
        <v>6</v>
      </c>
      <c r="F27" s="3">
        <v>24</v>
      </c>
      <c r="G27" s="188"/>
      <c r="K27" s="5"/>
    </row>
    <row r="28" spans="1:11" ht="24" customHeight="1" x14ac:dyDescent="0.25">
      <c r="A28" s="22">
        <f>AVERAGE(B28:D28)</f>
        <v>7.22E-2</v>
      </c>
      <c r="B28" s="22">
        <v>6.0499999999999998E-2</v>
      </c>
      <c r="C28" s="32">
        <v>8.5400000000000004E-2</v>
      </c>
      <c r="D28" s="43">
        <v>7.0699999999999999E-2</v>
      </c>
      <c r="E28" s="7" t="s">
        <v>5</v>
      </c>
      <c r="F28" s="3">
        <v>25</v>
      </c>
      <c r="G28" s="189"/>
      <c r="K28" s="5"/>
    </row>
    <row r="29" spans="1:11" ht="23.25" customHeight="1" x14ac:dyDescent="0.25">
      <c r="A29" s="25">
        <f>SUM(B29:D29)</f>
        <v>0.65972222222222221</v>
      </c>
      <c r="B29" s="44">
        <v>0.23263888888888887</v>
      </c>
      <c r="C29" s="45">
        <v>0.2986111111111111</v>
      </c>
      <c r="D29" s="35">
        <v>0.12847222222222224</v>
      </c>
      <c r="E29" s="6" t="s">
        <v>4</v>
      </c>
      <c r="F29" s="3">
        <v>26</v>
      </c>
      <c r="G29" s="190" t="s">
        <v>3</v>
      </c>
      <c r="K29" s="5"/>
    </row>
    <row r="30" spans="1:11" ht="26.25" customHeight="1" x14ac:dyDescent="0.25">
      <c r="A30" s="24">
        <f>SUM(B30:D30)</f>
        <v>0.74652777777777779</v>
      </c>
      <c r="B30" s="34">
        <v>0.27083333333333331</v>
      </c>
      <c r="C30" s="45">
        <v>0.28819444444444448</v>
      </c>
      <c r="D30" s="45">
        <v>0.1875</v>
      </c>
      <c r="E30" s="4" t="s">
        <v>2</v>
      </c>
      <c r="F30" s="3">
        <v>27</v>
      </c>
      <c r="G30" s="191"/>
    </row>
    <row r="31" spans="1:11" ht="25.5" customHeight="1" x14ac:dyDescent="0.25">
      <c r="A31" s="24">
        <f>SUM(B31:D31)</f>
        <v>0.47847222222222219</v>
      </c>
      <c r="B31" s="34">
        <v>0.17708333333333334</v>
      </c>
      <c r="C31" s="45">
        <v>0.1388888888888889</v>
      </c>
      <c r="D31" s="45">
        <v>0.16250000000000001</v>
      </c>
      <c r="E31" s="4" t="s">
        <v>1</v>
      </c>
      <c r="F31" s="3">
        <v>28</v>
      </c>
      <c r="G31" s="191"/>
    </row>
    <row r="32" spans="1:11" ht="24.75" customHeight="1" x14ac:dyDescent="0.25">
      <c r="A32" s="30">
        <f>SUM(A29:A30)</f>
        <v>1.40625</v>
      </c>
      <c r="B32" s="24">
        <f>SUM(B29:B30)</f>
        <v>0.50347222222222221</v>
      </c>
      <c r="C32" s="46">
        <f>SUM(C29:C30)</f>
        <v>0.58680555555555558</v>
      </c>
      <c r="D32" s="46">
        <f>SUM(D29:D30)</f>
        <v>0.31597222222222221</v>
      </c>
      <c r="E32" s="4" t="s">
        <v>0</v>
      </c>
      <c r="F32" s="3">
        <v>29</v>
      </c>
      <c r="G32" s="192"/>
    </row>
    <row r="33" spans="4:4" ht="19.5" customHeight="1" x14ac:dyDescent="0.25">
      <c r="D33" s="2"/>
    </row>
    <row r="34" spans="4:4" ht="19.5" customHeight="1" x14ac:dyDescent="0.25"/>
    <row r="35" spans="4:4" ht="19.5" customHeight="1" x14ac:dyDescent="0.25"/>
    <row r="36" spans="4:4" ht="19.5" customHeight="1" x14ac:dyDescent="0.25"/>
    <row r="37" spans="4:4" ht="19.5" customHeight="1" x14ac:dyDescent="0.25"/>
    <row r="38" spans="4:4" ht="19.5" customHeight="1" x14ac:dyDescent="0.25"/>
    <row r="39" spans="4:4" ht="19.5" customHeight="1" x14ac:dyDescent="0.25"/>
    <row r="40" spans="4:4" ht="19.5" customHeight="1" x14ac:dyDescent="0.25"/>
    <row r="41" spans="4:4" ht="19.5" customHeight="1" x14ac:dyDescent="0.25"/>
    <row r="42" spans="4:4" ht="19.5" customHeight="1" x14ac:dyDescent="0.25"/>
    <row r="43" spans="4:4" ht="19.5" customHeight="1" x14ac:dyDescent="0.25"/>
    <row r="44" spans="4:4" ht="19.5" customHeight="1" x14ac:dyDescent="0.25"/>
    <row r="45" spans="4:4" ht="19.5" customHeight="1" x14ac:dyDescent="0.25"/>
    <row r="46" spans="4:4" ht="19.5" customHeight="1" x14ac:dyDescent="0.25"/>
  </sheetData>
  <mergeCells count="8">
    <mergeCell ref="G25:G28"/>
    <mergeCell ref="G29:G32"/>
    <mergeCell ref="A1:G1"/>
    <mergeCell ref="A2:A3"/>
    <mergeCell ref="E2:F3"/>
    <mergeCell ref="G2:G3"/>
    <mergeCell ref="G4:G21"/>
    <mergeCell ref="G22:G24"/>
  </mergeCells>
  <printOptions horizontalCentered="1"/>
  <pageMargins left="0.25" right="0.25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</vt:lpstr>
      <vt:lpstr>به تفکیک شیفت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2026-05-23T05:22:19Z</cp:lastPrinted>
  <dcterms:created xsi:type="dcterms:W3CDTF">2026-05-02T10:53:58Z</dcterms:created>
  <dcterms:modified xsi:type="dcterms:W3CDTF">2026-05-23T05:22:21Z</dcterms:modified>
</cp:coreProperties>
</file>