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man Computer\Desktop\فرم های تولید\فرم های تولید 1405\فروردین\"/>
    </mc:Choice>
  </mc:AlternateContent>
  <xr:revisionPtr revIDLastSave="0" documentId="13_ncr:1_{C1AAC941-0113-491A-A569-A9BD6F7B38C0}" xr6:coauthVersionLast="47" xr6:coauthVersionMax="47" xr10:uidLastSave="{00000000-0000-0000-0000-000000000000}"/>
  <bookViews>
    <workbookView xWindow="-120" yWindow="-120" windowWidth="24240" windowHeight="13140" xr2:uid="{2B528CEE-D148-4A01-87C2-09DB8A1F1B16}"/>
  </bookViews>
  <sheets>
    <sheet name="به تفکیک شیفت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2" i="1" l="1"/>
  <c r="C32" i="1"/>
  <c r="D32" i="1"/>
  <c r="A4" i="1" l="1"/>
  <c r="A5" i="1"/>
  <c r="A6" i="1"/>
  <c r="A7" i="1"/>
  <c r="A9" i="1"/>
  <c r="A10" i="1"/>
  <c r="A11" i="1"/>
  <c r="A12" i="1"/>
  <c r="A13" i="1"/>
  <c r="A14" i="1"/>
  <c r="A15" i="1"/>
  <c r="A16" i="1"/>
  <c r="A17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 l="1"/>
</calcChain>
</file>

<file path=xl/sharedStrings.xml><?xml version="1.0" encoding="utf-8"?>
<sst xmlns="http://schemas.openxmlformats.org/spreadsheetml/2006/main" count="47" uniqueCount="41">
  <si>
    <r>
      <t xml:space="preserve">مجموع کل توقفات 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</si>
  <si>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کندی ها  </t>
    </r>
    <r>
      <rPr>
        <sz val="8"/>
        <rFont val="A  Mitra_1 (MRT)"/>
        <charset val="178"/>
      </rPr>
      <t>(ساعت )</t>
    </r>
  </si>
  <si>
    <r>
      <t xml:space="preserve">توقفات تولیدی 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</si>
  <si>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توقفات</t>
  </si>
  <si>
    <r>
      <t xml:space="preserve">توقفات فنی </t>
    </r>
    <r>
      <rPr>
        <sz val="11"/>
        <rFont val="A  Mitra_1 (MRT)"/>
        <charset val="178"/>
      </rPr>
      <t>(تمام تجهیزات)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</si>
  <si>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درصد شمش نرمال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درصد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</si>
  <si>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 شمش نرمال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</si>
  <si>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 شمش استاندارد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</si>
  <si>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کنترل کیفیت</t>
  </si>
  <si>
    <r>
      <t xml:space="preserve">درصد تولید شمش استاندارد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درصد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</si>
  <si>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مقدار مصرف کک  </t>
    </r>
    <r>
      <rPr>
        <sz val="6"/>
        <rFont val="A  Mitra_1 (MRT)"/>
        <charset val="178"/>
      </rPr>
      <t>(کیلوگرم)</t>
    </r>
  </si>
  <si>
    <r>
      <t xml:space="preserve">مقدار مصرف فرو سیلیس   </t>
    </r>
    <r>
      <rPr>
        <sz val="6"/>
        <rFont val="A  Mitra_1 (MRT)"/>
        <charset val="178"/>
      </rPr>
      <t>(کیلوگرم)</t>
    </r>
  </si>
  <si>
    <t>مصرف فروآلیاژ</t>
  </si>
  <si>
    <r>
      <t xml:space="preserve">مقدار مصرف فرو سیلیکو منگنز  </t>
    </r>
    <r>
      <rPr>
        <sz val="6"/>
        <rFont val="A  Mitra_1 (MRT)"/>
        <charset val="178"/>
      </rPr>
      <t>(کیلوگرم)</t>
    </r>
  </si>
  <si>
    <r>
      <rPr>
        <sz val="12"/>
        <rFont val="A  Mitra_1 (MRT)"/>
        <charset val="178"/>
      </rPr>
      <t xml:space="preserve">حداکثر تولید در ماه   </t>
    </r>
    <r>
      <rPr>
        <vertAlign val="superscript"/>
        <sz val="12"/>
        <rFont val="A  Mitra_1 (MRT)"/>
        <charset val="178"/>
      </rPr>
      <t>(Kg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</si>
  <si>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-</t>
  </si>
  <si>
    <r>
      <rPr>
        <sz val="12"/>
        <rFont val="A  Mitra_1 (MRT)"/>
        <charset val="178"/>
      </rPr>
      <t xml:space="preserve">کمترین تولید در ماه   </t>
    </r>
    <r>
      <rPr>
        <vertAlign val="superscript"/>
        <sz val="12"/>
        <rFont val="A  Mitra_1 (MRT)"/>
        <charset val="178"/>
      </rPr>
      <t>(Kg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</si>
  <si>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rPr>
        <sz val="12"/>
        <rFont val="A  Mitra_1 (MRT)"/>
        <charset val="178"/>
      </rPr>
      <t>میانگین تولید روزانه</t>
    </r>
    <r>
      <rPr>
        <b/>
        <sz val="12"/>
        <rFont val="A  Mitra_1 (MRT)"/>
        <charset val="178"/>
      </rPr>
      <t xml:space="preserve">  </t>
    </r>
    <r>
      <rPr>
        <b/>
        <vertAlign val="superscript"/>
        <sz val="12"/>
        <rFont val="A  Mitra_1 (MRT)"/>
        <charset val="178"/>
      </rPr>
      <t>(Kg</t>
    </r>
    <r>
      <rPr>
        <b/>
        <sz val="12"/>
        <rFont val="A  Mitra_1 (MRT)"/>
        <charset val="178"/>
      </rPr>
      <t xml:space="preserve"> </t>
    </r>
    <r>
      <rPr>
        <b/>
        <vertAlign val="superscript"/>
        <sz val="12"/>
        <rFont val="A  Mitra_1 (MRT)"/>
        <charset val="178"/>
      </rPr>
      <t>)</t>
    </r>
  </si>
  <si>
    <r>
      <rPr>
        <sz val="12"/>
        <rFont val="A  Mitra_1 (MRT)"/>
        <charset val="178"/>
      </rPr>
      <t xml:space="preserve">نرخ تولید </t>
    </r>
    <r>
      <rPr>
        <sz val="9"/>
        <rFont val="A  Mitra_1 (MRT)"/>
        <charset val="178"/>
      </rPr>
      <t xml:space="preserve">( با کسر توقفات و کندی ها ) 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Kg/Min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</si>
  <si>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rPr>
        <sz val="12"/>
        <rFont val="A  Mitra_1 (MRT)"/>
        <charset val="178"/>
      </rPr>
      <t xml:space="preserve">نرخ تولید </t>
    </r>
    <r>
      <rPr>
        <sz val="9"/>
        <rFont val="A  Mitra_1 (MRT)"/>
        <charset val="178"/>
      </rPr>
      <t xml:space="preserve">( بدون کسر توقفات و کندی ها ) 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Kg/Min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</si>
  <si>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زمان کارکرد کوره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</si>
  <si>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متوسط زمان ذوب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دقیقه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</si>
  <si>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ذوب ریخته گری ناقص </t>
    </r>
    <r>
      <rPr>
        <sz val="8"/>
        <rFont val="A  Mitra_1 (MRT)"/>
        <charset val="178"/>
      </rPr>
      <t>(عدد)</t>
    </r>
  </si>
  <si>
    <r>
      <t xml:space="preserve">تعداد  ذوب برگشتی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</si>
  <si>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کل ذوبها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</si>
  <si>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تعداد شیفت کاری</t>
  </si>
  <si>
    <r>
      <t xml:space="preserve">درصد ضایعات برگشتی </t>
    </r>
    <r>
      <rPr>
        <sz val="8"/>
        <rFont val="B Nazanin"/>
        <charset val="178"/>
      </rPr>
      <t>( درصد )</t>
    </r>
  </si>
  <si>
    <r>
      <t xml:space="preserve">تناژ ضایعات برگشتی  </t>
    </r>
    <r>
      <rPr>
        <b/>
        <vertAlign val="superscript"/>
        <sz val="11"/>
        <rFont val="B Nazanin"/>
        <charset val="178"/>
      </rPr>
      <t>(کیلوگرم)</t>
    </r>
  </si>
  <si>
    <r>
      <t xml:space="preserve">میزان کل تولید  </t>
    </r>
    <r>
      <rPr>
        <sz val="8"/>
        <rFont val="A  Mitra_1 (MRT)"/>
        <charset val="178"/>
      </rPr>
      <t>(Kg)</t>
    </r>
  </si>
  <si>
    <t>تولید</t>
  </si>
  <si>
    <r>
      <rPr>
        <sz val="12"/>
        <rFont val="A  Mitra_1 (MRT)"/>
        <charset val="178"/>
      </rPr>
      <t xml:space="preserve">میزان کل ذوب ساخته شده  </t>
    </r>
    <r>
      <rPr>
        <sz val="8"/>
        <rFont val="A  Mitra_1 (MRT)"/>
        <charset val="178"/>
      </rPr>
      <t>(Kg)</t>
    </r>
  </si>
  <si>
    <t>A</t>
  </si>
  <si>
    <t>B</t>
  </si>
  <si>
    <t>C</t>
  </si>
  <si>
    <t>شرح</t>
  </si>
  <si>
    <t>شیفت</t>
  </si>
  <si>
    <t>مجموع</t>
  </si>
  <si>
    <t>خلاصه عملکرد فروردین ماه 1405</t>
  </si>
  <si>
    <r>
      <t>متوسط زمان ریخته گری</t>
    </r>
    <r>
      <rPr>
        <sz val="6"/>
        <rFont val="A  Mitra_1 (MRT)"/>
        <charset val="178"/>
      </rPr>
      <t xml:space="preserve"> (ساعت)</t>
    </r>
  </si>
  <si>
    <r>
      <t xml:space="preserve">مدت زمان ریخته گری </t>
    </r>
    <r>
      <rPr>
        <sz val="6"/>
        <rFont val="A  Mitra_1 (MRT)"/>
        <charset val="178"/>
      </rPr>
      <t>(ساعت)</t>
    </r>
  </si>
  <si>
    <t>تعداد روز کاری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</si>
</sst>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;@"/>
    <numFmt numFmtId="165" formatCode="[h]:mm"/>
    <numFmt numFmtId="166" formatCode="h:mm;@"/>
  </numFmts>
  <fonts count="1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  Mitra_1 (MRT)"/>
      <charset val="178"/>
    </font>
    <font>
      <b/>
      <sz val="12"/>
      <name val="A  Mitra_1 (MRT)"/>
      <charset val="178"/>
    </font>
    <font>
      <sz val="12"/>
      <color rgb="FF000000"/>
      <name val="A  Mitra_1 (MRT)"/>
      <charset val="178"/>
    </font>
    <font>
      <sz val="12"/>
      <name val="A  Mitra_1 (MRT)"/>
      <charset val="178"/>
    </font>
    <font>
      <vertAlign val="superscript"/>
      <sz val="12"/>
      <name val="A  Mitra_1 (MRT)"/>
      <charset val="178"/>
    </font>
    <font>
      <sz val="8"/>
      <name val="A  Mitra_1 (MRT)"/>
      <charset val="178"/>
    </font>
    <font>
      <sz val="11"/>
      <name val="A  Mitra_1 (MRT)"/>
      <charset val="178"/>
    </font>
    <font>
      <sz val="6"/>
      <name val="A  Mitra_1 (MRT)"/>
      <charset val="178"/>
    </font>
    <font>
      <b/>
      <sz val="11"/>
      <name val="B Nazanin"/>
      <charset val="178"/>
    </font>
    <font>
      <sz val="8"/>
      <name val="B Nazanin"/>
      <charset val="178"/>
    </font>
    <font>
      <b/>
      <vertAlign val="superscript"/>
      <sz val="12"/>
      <name val="A  Mitra_1 (MRT)"/>
      <charset val="178"/>
    </font>
    <font>
      <sz val="10"/>
      <name val="A  Mitra_1 (MRT)"/>
      <charset val="178"/>
    </font>
    <font>
      <sz val="9"/>
      <name val="A  Mitra_1 (MRT)"/>
      <charset val="178"/>
    </font>
    <font>
      <b/>
      <vertAlign val="superscript"/>
      <sz val="11"/>
      <name val="B Nazanin"/>
      <charset val="178"/>
    </font>
    <font>
      <sz val="16"/>
      <name val="B Titr"/>
      <charset val="178"/>
    </font>
    <font>
      <b/>
      <sz val="14"/>
      <color rgb="FF000000"/>
      <name val="B Nazanin"/>
      <charset val="178"/>
    </font>
    <font>
      <b/>
      <sz val="14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1F1F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0" borderId="0" xfId="1" applyFont="1" applyAlignment="1">
      <alignment horizontal="left" vertical="top"/>
    </xf>
    <xf numFmtId="164" fontId="2" fillId="0" borderId="0" xfId="1" applyNumberFormat="1" applyFont="1" applyAlignment="1">
      <alignment horizontal="left" vertical="top"/>
    </xf>
    <xf numFmtId="1" fontId="4" fillId="0" borderId="2" xfId="1" applyNumberFormat="1" applyFont="1" applyBorder="1" applyAlignment="1">
      <alignment horizontal="center" vertical="top" shrinkToFit="1"/>
    </xf>
    <xf numFmtId="0" fontId="5" fillId="3" borderId="2" xfId="1" applyFont="1" applyFill="1" applyBorder="1" applyAlignment="1">
      <alignment horizontal="right" vertical="center" wrapText="1" readingOrder="2"/>
    </xf>
    <xf numFmtId="20" fontId="2" fillId="0" borderId="0" xfId="1" applyNumberFormat="1" applyFont="1" applyAlignment="1">
      <alignment horizontal="left" vertical="top"/>
    </xf>
    <xf numFmtId="0" fontId="5" fillId="3" borderId="5" xfId="1" applyFont="1" applyFill="1" applyBorder="1" applyAlignment="1">
      <alignment horizontal="right" vertical="center" wrapText="1" readingOrder="2"/>
    </xf>
    <xf numFmtId="0" fontId="5" fillId="3" borderId="7" xfId="1" applyFont="1" applyFill="1" applyBorder="1" applyAlignment="1">
      <alignment horizontal="right" vertical="center" wrapText="1" readingOrder="2"/>
    </xf>
    <xf numFmtId="0" fontId="5" fillId="3" borderId="11" xfId="1" applyFont="1" applyFill="1" applyBorder="1" applyAlignment="1">
      <alignment horizontal="right" vertical="center" wrapText="1" readingOrder="2"/>
    </xf>
    <xf numFmtId="0" fontId="5" fillId="3" borderId="8" xfId="1" applyFont="1" applyFill="1" applyBorder="1" applyAlignment="1">
      <alignment horizontal="right" vertical="center" wrapText="1" readingOrder="2"/>
    </xf>
    <xf numFmtId="0" fontId="5" fillId="3" borderId="12" xfId="1" applyFont="1" applyFill="1" applyBorder="1" applyAlignment="1">
      <alignment horizontal="right" vertical="center" wrapText="1" readingOrder="2"/>
    </xf>
    <xf numFmtId="0" fontId="2" fillId="3" borderId="16" xfId="1" applyFont="1" applyFill="1" applyBorder="1" applyAlignment="1">
      <alignment horizontal="right" vertical="center" wrapText="1" readingOrder="2"/>
    </xf>
    <xf numFmtId="0" fontId="2" fillId="3" borderId="2" xfId="1" applyFont="1" applyFill="1" applyBorder="1" applyAlignment="1">
      <alignment horizontal="right" vertical="center" wrapText="1" readingOrder="2"/>
    </xf>
    <xf numFmtId="0" fontId="13" fillId="3" borderId="2" xfId="1" applyFont="1" applyFill="1" applyBorder="1" applyAlignment="1">
      <alignment horizontal="right" vertical="center" wrapText="1" readingOrder="2"/>
    </xf>
    <xf numFmtId="0" fontId="10" fillId="5" borderId="8" xfId="0" applyFont="1" applyFill="1" applyBorder="1" applyAlignment="1">
      <alignment vertical="center" readingOrder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right" vertical="top" wrapText="1" indent="2" readingOrder="2"/>
    </xf>
    <xf numFmtId="0" fontId="5" fillId="5" borderId="15" xfId="0" applyFont="1" applyFill="1" applyBorder="1" applyAlignment="1">
      <alignment horizontal="right" vertical="center" wrapText="1" readingOrder="2"/>
    </xf>
    <xf numFmtId="0" fontId="5" fillId="5" borderId="7" xfId="0" applyFont="1" applyFill="1" applyBorder="1" applyAlignment="1">
      <alignment horizontal="right" vertical="center" wrapText="1" readingOrder="2"/>
    </xf>
    <xf numFmtId="3" fontId="17" fillId="4" borderId="2" xfId="1" applyNumberFormat="1" applyFont="1" applyFill="1" applyBorder="1" applyAlignment="1">
      <alignment horizontal="center" vertical="center" shrinkToFit="1"/>
    </xf>
    <xf numFmtId="10" fontId="17" fillId="4" borderId="2" xfId="1" applyNumberFormat="1" applyFont="1" applyFill="1" applyBorder="1" applyAlignment="1">
      <alignment horizontal="center" vertical="center" shrinkToFit="1"/>
    </xf>
    <xf numFmtId="1" fontId="17" fillId="4" borderId="2" xfId="1" applyNumberFormat="1" applyFont="1" applyFill="1" applyBorder="1" applyAlignment="1">
      <alignment horizontal="center" vertical="center" shrinkToFit="1"/>
    </xf>
    <xf numFmtId="166" fontId="18" fillId="4" borderId="2" xfId="1" applyNumberFormat="1" applyFont="1" applyFill="1" applyBorder="1" applyAlignment="1">
      <alignment horizontal="center" vertical="center" wrapText="1"/>
    </xf>
    <xf numFmtId="164" fontId="17" fillId="4" borderId="2" xfId="1" applyNumberFormat="1" applyFont="1" applyFill="1" applyBorder="1" applyAlignment="1">
      <alignment horizontal="center" vertical="center" shrinkToFit="1"/>
    </xf>
    <xf numFmtId="4" fontId="17" fillId="4" borderId="2" xfId="1" applyNumberFormat="1" applyFont="1" applyFill="1" applyBorder="1" applyAlignment="1">
      <alignment horizontal="center" vertical="center" shrinkToFit="1"/>
    </xf>
    <xf numFmtId="2" fontId="17" fillId="4" borderId="2" xfId="1" applyNumberFormat="1" applyFont="1" applyFill="1" applyBorder="1" applyAlignment="1">
      <alignment horizontal="center" vertical="center" shrinkToFit="1"/>
    </xf>
    <xf numFmtId="164" fontId="17" fillId="4" borderId="14" xfId="1" applyNumberFormat="1" applyFont="1" applyFill="1" applyBorder="1" applyAlignment="1">
      <alignment horizontal="center" vertical="center" shrinkToFit="1"/>
    </xf>
    <xf numFmtId="3" fontId="17" fillId="4" borderId="5" xfId="1" applyNumberFormat="1" applyFont="1" applyFill="1" applyBorder="1" applyAlignment="1">
      <alignment horizontal="center" vertical="center" shrinkToFit="1"/>
    </xf>
    <xf numFmtId="164" fontId="18" fillId="4" borderId="2" xfId="1" applyNumberFormat="1" applyFont="1" applyFill="1" applyBorder="1" applyAlignment="1">
      <alignment horizontal="center" vertical="center" wrapText="1"/>
    </xf>
    <xf numFmtId="3" fontId="17" fillId="4" borderId="2" xfId="0" applyNumberFormat="1" applyFont="1" applyFill="1" applyBorder="1" applyAlignment="1">
      <alignment horizontal="center" vertical="center" shrinkToFit="1"/>
    </xf>
    <xf numFmtId="10" fontId="17" fillId="4" borderId="2" xfId="0" applyNumberFormat="1" applyFont="1" applyFill="1" applyBorder="1" applyAlignment="1">
      <alignment horizontal="center" vertical="center" shrinkToFit="1"/>
    </xf>
    <xf numFmtId="1" fontId="17" fillId="4" borderId="2" xfId="0" applyNumberFormat="1" applyFont="1" applyFill="1" applyBorder="1" applyAlignment="1">
      <alignment horizontal="center" vertical="center" shrinkToFit="1"/>
    </xf>
    <xf numFmtId="20" fontId="18" fillId="4" borderId="2" xfId="1" applyNumberFormat="1" applyFont="1" applyFill="1" applyBorder="1" applyAlignment="1">
      <alignment horizontal="center" vertical="center" wrapText="1"/>
    </xf>
    <xf numFmtId="20" fontId="18" fillId="4" borderId="2" xfId="0" applyNumberFormat="1" applyFont="1" applyFill="1" applyBorder="1" applyAlignment="1">
      <alignment horizontal="center" vertical="center" wrapText="1"/>
    </xf>
    <xf numFmtId="164" fontId="17" fillId="4" borderId="2" xfId="0" applyNumberFormat="1" applyFont="1" applyFill="1" applyBorder="1" applyAlignment="1">
      <alignment horizontal="center" vertical="center" shrinkToFit="1"/>
    </xf>
    <xf numFmtId="4" fontId="17" fillId="4" borderId="2" xfId="0" applyNumberFormat="1" applyFont="1" applyFill="1" applyBorder="1" applyAlignment="1">
      <alignment horizontal="center" vertical="center" shrinkToFit="1"/>
    </xf>
    <xf numFmtId="164" fontId="17" fillId="4" borderId="8" xfId="0" applyNumberFormat="1" applyFont="1" applyFill="1" applyBorder="1" applyAlignment="1">
      <alignment horizontal="center" vertical="center" shrinkToFit="1"/>
    </xf>
    <xf numFmtId="164" fontId="17" fillId="4" borderId="14" xfId="0" applyNumberFormat="1" applyFont="1" applyFill="1" applyBorder="1" applyAlignment="1">
      <alignment horizontal="center" vertical="center" shrinkToFit="1"/>
    </xf>
    <xf numFmtId="164" fontId="17" fillId="4" borderId="13" xfId="0" applyNumberFormat="1" applyFont="1" applyFill="1" applyBorder="1" applyAlignment="1">
      <alignment horizontal="center" vertical="center" shrinkToFit="1"/>
    </xf>
    <xf numFmtId="3" fontId="17" fillId="4" borderId="5" xfId="0" applyNumberFormat="1" applyFont="1" applyFill="1" applyBorder="1" applyAlignment="1">
      <alignment horizontal="center" vertical="center" shrinkToFit="1"/>
    </xf>
    <xf numFmtId="3" fontId="17" fillId="4" borderId="8" xfId="0" applyNumberFormat="1" applyFont="1" applyFill="1" applyBorder="1" applyAlignment="1">
      <alignment horizontal="center" vertical="center" shrinkToFit="1"/>
    </xf>
    <xf numFmtId="10" fontId="17" fillId="4" borderId="8" xfId="0" applyNumberFormat="1" applyFont="1" applyFill="1" applyBorder="1" applyAlignment="1">
      <alignment horizontal="center" vertical="center" shrinkToFit="1"/>
    </xf>
    <xf numFmtId="166" fontId="17" fillId="4" borderId="2" xfId="1" applyNumberFormat="1" applyFont="1" applyFill="1" applyBorder="1" applyAlignment="1">
      <alignment horizontal="center" vertical="center" shrinkToFit="1"/>
    </xf>
    <xf numFmtId="166" fontId="17" fillId="4" borderId="2" xfId="0" applyNumberFormat="1" applyFont="1" applyFill="1" applyBorder="1" applyAlignment="1">
      <alignment horizontal="center" vertical="center" shrinkToFit="1"/>
    </xf>
    <xf numFmtId="165" fontId="18" fillId="4" borderId="2" xfId="0" applyNumberFormat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textRotation="90" wrapText="1" readingOrder="2"/>
    </xf>
    <xf numFmtId="0" fontId="3" fillId="2" borderId="9" xfId="1" applyFont="1" applyFill="1" applyBorder="1" applyAlignment="1">
      <alignment horizontal="center" vertical="center" textRotation="90" wrapText="1" readingOrder="2"/>
    </xf>
    <xf numFmtId="0" fontId="3" fillId="2" borderId="6" xfId="1" applyFont="1" applyFill="1" applyBorder="1" applyAlignment="1">
      <alignment horizontal="center" vertical="center" textRotation="90" wrapText="1" readingOrder="2"/>
    </xf>
    <xf numFmtId="0" fontId="3" fillId="2" borderId="4" xfId="1" applyFont="1" applyFill="1" applyBorder="1" applyAlignment="1">
      <alignment horizontal="center" vertical="center" textRotation="90" wrapText="1" readingOrder="2"/>
    </xf>
    <xf numFmtId="0" fontId="3" fillId="2" borderId="3" xfId="1" applyFont="1" applyFill="1" applyBorder="1" applyAlignment="1">
      <alignment horizontal="center" vertical="center" textRotation="90" wrapText="1" readingOrder="2"/>
    </xf>
    <xf numFmtId="0" fontId="3" fillId="2" borderId="1" xfId="1" applyFont="1" applyFill="1" applyBorder="1" applyAlignment="1">
      <alignment horizontal="center" vertical="center" textRotation="90" wrapText="1" readingOrder="2"/>
    </xf>
    <xf numFmtId="0" fontId="16" fillId="2" borderId="8" xfId="1" applyFont="1" applyFill="1" applyBorder="1" applyAlignment="1">
      <alignment horizontal="center" vertical="center" wrapText="1" readingOrder="2"/>
    </xf>
    <xf numFmtId="0" fontId="16" fillId="2" borderId="20" xfId="1" applyFont="1" applyFill="1" applyBorder="1" applyAlignment="1">
      <alignment horizontal="center" vertical="center" wrapText="1" readingOrder="2"/>
    </xf>
    <xf numFmtId="0" fontId="16" fillId="2" borderId="19" xfId="1" applyFont="1" applyFill="1" applyBorder="1" applyAlignment="1">
      <alignment horizontal="center" vertical="center" wrapText="1" readingOrder="2"/>
    </xf>
    <xf numFmtId="0" fontId="3" fillId="2" borderId="16" xfId="1" applyFont="1" applyFill="1" applyBorder="1" applyAlignment="1">
      <alignment horizontal="center" vertical="center" wrapText="1" readingOrder="2"/>
    </xf>
    <xf numFmtId="0" fontId="3" fillId="2" borderId="5" xfId="1" applyFont="1" applyFill="1" applyBorder="1" applyAlignment="1">
      <alignment horizontal="center" vertical="center" wrapText="1" readingOrder="2"/>
    </xf>
    <xf numFmtId="0" fontId="3" fillId="2" borderId="11" xfId="1" applyFont="1" applyFill="1" applyBorder="1" applyAlignment="1">
      <alignment horizontal="center" vertical="center" wrapText="1" readingOrder="2"/>
    </xf>
    <xf numFmtId="0" fontId="3" fillId="2" borderId="18" xfId="1" applyFont="1" applyFill="1" applyBorder="1" applyAlignment="1">
      <alignment horizontal="center" vertical="center" wrapText="1" readingOrder="2"/>
    </xf>
    <xf numFmtId="0" fontId="3" fillId="2" borderId="12" xfId="1" applyFont="1" applyFill="1" applyBorder="1" applyAlignment="1">
      <alignment horizontal="center" vertical="center" wrapText="1" readingOrder="2"/>
    </xf>
    <xf numFmtId="0" fontId="3" fillId="2" borderId="17" xfId="1" applyFont="1" applyFill="1" applyBorder="1" applyAlignment="1">
      <alignment horizontal="center" vertical="center" wrapText="1" readingOrder="2"/>
    </xf>
    <xf numFmtId="0" fontId="2" fillId="2" borderId="16" xfId="1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3" fillId="2" borderId="16" xfId="1" applyFont="1" applyFill="1" applyBorder="1" applyAlignment="1">
      <alignment horizontal="center" vertical="center" textRotation="90" wrapText="1" readingOrder="2"/>
    </xf>
  </cellXfs>
  <cellStyles count="2">
    <cellStyle name="Normal" xfId="0" builtinId="0"/>
    <cellStyle name="Normal 2" xfId="1" xr:uid="{45FAD8F2-8363-42B0-9E7F-EB57B181F4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F27C-AB5E-4A14-88C6-EE3D98E30C39}">
  <dimension ref="A1:K46"/>
  <sheetViews>
    <sheetView tabSelected="1" topLeftCell="A5" zoomScale="115" zoomScaleNormal="115" workbookViewId="0">
      <selection activeCell="E8" sqref="E8"/>
    </sheetView>
  </sheetViews>
  <sheetFormatPr defaultRowHeight="15.75" x14ac:dyDescent="0.25"/>
  <cols>
    <col min="1" max="1" width="15.7109375" style="1" customWidth="1"/>
    <col min="2" max="2" width="11.7109375" style="1" customWidth="1"/>
    <col min="3" max="3" width="11.42578125" style="1" customWidth="1"/>
    <col min="4" max="4" width="11.140625" style="1" customWidth="1"/>
    <col min="5" max="5" width="34.140625" style="1" customWidth="1"/>
    <col min="6" max="6" width="6.140625" style="1" customWidth="1"/>
    <col min="7" max="7" width="7.5703125" style="1" customWidth="1"/>
    <col min="8" max="16384" width="9.140625" style="1"/>
  </cols>
  <sheetData>
    <row r="1" spans="1:7" ht="42.75" customHeight="1" x14ac:dyDescent="0.25">
      <c r="A1" s="53" t="s">
        <v>37</v>
      </c>
      <c r="B1" s="54"/>
      <c r="C1" s="54"/>
      <c r="D1" s="54"/>
      <c r="E1" s="54"/>
      <c r="F1" s="54"/>
      <c r="G1" s="55"/>
    </row>
    <row r="2" spans="1:7" ht="18" customHeight="1" x14ac:dyDescent="0.25">
      <c r="A2" s="56" t="s">
        <v>36</v>
      </c>
      <c r="B2" s="18" t="s">
        <v>35</v>
      </c>
      <c r="C2" s="18" t="s">
        <v>35</v>
      </c>
      <c r="D2" s="18" t="s">
        <v>35</v>
      </c>
      <c r="E2" s="58" t="s">
        <v>34</v>
      </c>
      <c r="F2" s="59"/>
      <c r="G2" s="62"/>
    </row>
    <row r="3" spans="1:7" ht="17.25" customHeight="1" x14ac:dyDescent="0.25">
      <c r="A3" s="57"/>
      <c r="B3" s="17" t="s">
        <v>33</v>
      </c>
      <c r="C3" s="16" t="s">
        <v>32</v>
      </c>
      <c r="D3" s="15" t="s">
        <v>31</v>
      </c>
      <c r="E3" s="60"/>
      <c r="F3" s="61"/>
      <c r="G3" s="63"/>
    </row>
    <row r="4" spans="1:7" ht="24.75" customHeight="1" x14ac:dyDescent="0.25">
      <c r="A4" s="21">
        <f>SUM(B4:D4)</f>
        <v>1787559</v>
      </c>
      <c r="B4" s="21">
        <v>574686</v>
      </c>
      <c r="C4" s="31">
        <v>655312</v>
      </c>
      <c r="D4" s="31">
        <v>557561</v>
      </c>
      <c r="E4" s="13" t="s">
        <v>30</v>
      </c>
      <c r="F4" s="3">
        <v>1</v>
      </c>
      <c r="G4" s="64" t="s">
        <v>29</v>
      </c>
    </row>
    <row r="5" spans="1:7" ht="23.25" customHeight="1" x14ac:dyDescent="0.25">
      <c r="A5" s="21">
        <f>SUM(B5:D5)</f>
        <v>1728959</v>
      </c>
      <c r="B5" s="21">
        <v>573686</v>
      </c>
      <c r="C5" s="31">
        <v>619512</v>
      </c>
      <c r="D5" s="31">
        <v>535761</v>
      </c>
      <c r="E5" s="4" t="s">
        <v>28</v>
      </c>
      <c r="F5" s="3">
        <v>2</v>
      </c>
      <c r="G5" s="51"/>
    </row>
    <row r="6" spans="1:7" ht="23.25" customHeight="1" x14ac:dyDescent="0.25">
      <c r="A6" s="21">
        <f>SUM(B6:D6)</f>
        <v>58600</v>
      </c>
      <c r="B6" s="21">
        <v>1000</v>
      </c>
      <c r="C6" s="31">
        <v>35800</v>
      </c>
      <c r="D6" s="31">
        <v>21800</v>
      </c>
      <c r="E6" s="14" t="s">
        <v>27</v>
      </c>
      <c r="F6" s="3">
        <v>3</v>
      </c>
      <c r="G6" s="51"/>
    </row>
    <row r="7" spans="1:7" ht="23.25" customHeight="1" x14ac:dyDescent="0.25">
      <c r="A7" s="22">
        <f>AVERAGE(B7:D7)</f>
        <v>3.1833333333333332E-2</v>
      </c>
      <c r="B7" s="22">
        <v>1.6999999999999999E-3</v>
      </c>
      <c r="C7" s="32">
        <v>5.4699999999999999E-2</v>
      </c>
      <c r="D7" s="32">
        <v>3.9100000000000003E-2</v>
      </c>
      <c r="E7" s="14" t="s">
        <v>26</v>
      </c>
      <c r="F7" s="3">
        <v>4</v>
      </c>
      <c r="G7" s="51"/>
    </row>
    <row r="8" spans="1:7" ht="23.25" customHeight="1" x14ac:dyDescent="0.25">
      <c r="A8" s="23">
        <v>22</v>
      </c>
      <c r="B8" s="22" t="s">
        <v>15</v>
      </c>
      <c r="C8" s="32" t="s">
        <v>15</v>
      </c>
      <c r="D8" s="32" t="s">
        <v>15</v>
      </c>
      <c r="E8" s="4" t="s">
        <v>40</v>
      </c>
      <c r="F8" s="3">
        <v>5</v>
      </c>
      <c r="G8" s="51"/>
    </row>
    <row r="9" spans="1:7" ht="24.75" customHeight="1" x14ac:dyDescent="0.25">
      <c r="A9" s="21">
        <f>SUM(B9:D9)</f>
        <v>34</v>
      </c>
      <c r="B9" s="21">
        <v>11</v>
      </c>
      <c r="C9" s="31">
        <v>12</v>
      </c>
      <c r="D9" s="31">
        <v>11</v>
      </c>
      <c r="E9" s="4" t="s">
        <v>25</v>
      </c>
      <c r="F9" s="3">
        <v>6</v>
      </c>
      <c r="G9" s="51"/>
    </row>
    <row r="10" spans="1:7" ht="24.75" customHeight="1" x14ac:dyDescent="0.25">
      <c r="A10" s="23">
        <f>SUM(B10:D10)</f>
        <v>78</v>
      </c>
      <c r="B10" s="23">
        <v>25</v>
      </c>
      <c r="C10" s="33">
        <v>28</v>
      </c>
      <c r="D10" s="33">
        <v>25</v>
      </c>
      <c r="E10" s="4" t="s">
        <v>24</v>
      </c>
      <c r="F10" s="3">
        <v>7</v>
      </c>
      <c r="G10" s="51"/>
    </row>
    <row r="11" spans="1:7" ht="24.75" customHeight="1" x14ac:dyDescent="0.25">
      <c r="A11" s="23">
        <f>SUM(B11:D11)</f>
        <v>1</v>
      </c>
      <c r="B11" s="23">
        <v>0</v>
      </c>
      <c r="C11" s="33">
        <v>1</v>
      </c>
      <c r="D11" s="33">
        <v>0</v>
      </c>
      <c r="E11" s="4" t="s">
        <v>23</v>
      </c>
      <c r="F11" s="3">
        <v>8</v>
      </c>
      <c r="G11" s="51"/>
    </row>
    <row r="12" spans="1:7" ht="24.75" customHeight="1" x14ac:dyDescent="0.25">
      <c r="A12" s="23">
        <f>SUM(B12:D12)</f>
        <v>2</v>
      </c>
      <c r="B12" s="23">
        <v>0</v>
      </c>
      <c r="C12" s="33">
        <v>1</v>
      </c>
      <c r="D12" s="33">
        <v>1</v>
      </c>
      <c r="E12" s="4" t="s">
        <v>22</v>
      </c>
      <c r="F12" s="3">
        <v>9</v>
      </c>
      <c r="G12" s="51"/>
    </row>
    <row r="13" spans="1:7" ht="25.5" customHeight="1" x14ac:dyDescent="0.25">
      <c r="A13" s="24">
        <f>AVERAGE(B13:D13)</f>
        <v>0.19675925925925927</v>
      </c>
      <c r="B13" s="34">
        <v>0.18819444444444444</v>
      </c>
      <c r="C13" s="35">
        <v>0.19583333333333333</v>
      </c>
      <c r="D13" s="35">
        <v>0.20625000000000002</v>
      </c>
      <c r="E13" s="4" t="s">
        <v>21</v>
      </c>
      <c r="F13" s="3">
        <v>10</v>
      </c>
      <c r="G13" s="51"/>
    </row>
    <row r="14" spans="1:7" ht="24.75" customHeight="1" x14ac:dyDescent="0.25">
      <c r="A14" s="25">
        <f>SUM(B14:D14)</f>
        <v>15.425694444444446</v>
      </c>
      <c r="B14" s="25">
        <v>4.6312500000000005</v>
      </c>
      <c r="C14" s="36">
        <v>5.6819444444444445</v>
      </c>
      <c r="D14" s="36">
        <v>5.1124999999999998</v>
      </c>
      <c r="E14" s="4" t="s">
        <v>20</v>
      </c>
      <c r="F14" s="3">
        <v>11</v>
      </c>
      <c r="G14" s="51"/>
    </row>
    <row r="15" spans="1:7" ht="24.75" customHeight="1" x14ac:dyDescent="0.25">
      <c r="A15" s="26">
        <f>AVERAGE(B15:D15)</f>
        <v>80.593333333333334</v>
      </c>
      <c r="B15" s="26">
        <v>86.07</v>
      </c>
      <c r="C15" s="37">
        <v>80.05</v>
      </c>
      <c r="D15" s="37">
        <v>75.66</v>
      </c>
      <c r="E15" s="13" t="s">
        <v>19</v>
      </c>
      <c r="F15" s="3">
        <v>12</v>
      </c>
      <c r="G15" s="51"/>
    </row>
    <row r="16" spans="1:7" ht="23.25" customHeight="1" x14ac:dyDescent="0.25">
      <c r="A16" s="27">
        <f>AVERAGE(B16:D16)</f>
        <v>84.383333333333326</v>
      </c>
      <c r="B16" s="26">
        <v>92.36</v>
      </c>
      <c r="C16" s="37">
        <v>81.599999999999994</v>
      </c>
      <c r="D16" s="37">
        <v>79.19</v>
      </c>
      <c r="E16" s="13" t="s">
        <v>18</v>
      </c>
      <c r="F16" s="3">
        <v>13</v>
      </c>
      <c r="G16" s="51"/>
    </row>
    <row r="17" spans="1:11" ht="25.5" customHeight="1" x14ac:dyDescent="0.25">
      <c r="A17" s="21">
        <f>AVERAGE(B17:D17)</f>
        <v>50827.333333333336</v>
      </c>
      <c r="B17" s="21">
        <v>52152</v>
      </c>
      <c r="C17" s="31">
        <v>51625</v>
      </c>
      <c r="D17" s="31">
        <v>48705</v>
      </c>
      <c r="E17" s="12" t="s">
        <v>17</v>
      </c>
      <c r="F17" s="3">
        <v>14</v>
      </c>
      <c r="G17" s="51"/>
    </row>
    <row r="18" spans="1:11" ht="24" customHeight="1" x14ac:dyDescent="0.25">
      <c r="A18" s="21" t="s">
        <v>15</v>
      </c>
      <c r="B18" s="21">
        <v>22050</v>
      </c>
      <c r="C18" s="31">
        <v>28700</v>
      </c>
      <c r="D18" s="31">
        <v>21000</v>
      </c>
      <c r="E18" s="12" t="s">
        <v>16</v>
      </c>
      <c r="F18" s="3">
        <v>15</v>
      </c>
      <c r="G18" s="51"/>
    </row>
    <row r="19" spans="1:11" ht="24" customHeight="1" x14ac:dyDescent="0.25">
      <c r="A19" s="21" t="s">
        <v>15</v>
      </c>
      <c r="B19" s="21">
        <v>74200</v>
      </c>
      <c r="C19" s="31">
        <v>75075</v>
      </c>
      <c r="D19" s="31">
        <v>75600</v>
      </c>
      <c r="E19" s="11" t="s">
        <v>14</v>
      </c>
      <c r="F19" s="3">
        <v>16</v>
      </c>
      <c r="G19" s="51"/>
    </row>
    <row r="20" spans="1:11" ht="24.75" customHeight="1" x14ac:dyDescent="0.25">
      <c r="A20" s="25">
        <f>SUM(B20:D20)</f>
        <v>2.2937500000000002</v>
      </c>
      <c r="B20" s="25">
        <v>0.70624999999999993</v>
      </c>
      <c r="C20" s="36">
        <v>0.85069444444444453</v>
      </c>
      <c r="D20" s="38">
        <v>0.7368055555555556</v>
      </c>
      <c r="E20" s="19" t="s">
        <v>39</v>
      </c>
      <c r="F20" s="3">
        <v>17</v>
      </c>
      <c r="G20" s="51"/>
    </row>
    <row r="21" spans="1:11" ht="24.75" customHeight="1" x14ac:dyDescent="0.25">
      <c r="A21" s="28">
        <f>AVERAGE(B21:D21)</f>
        <v>6.7129629629629636E-2</v>
      </c>
      <c r="B21" s="28">
        <v>6.3888888888888884E-2</v>
      </c>
      <c r="C21" s="39">
        <v>7.0833333333333331E-2</v>
      </c>
      <c r="D21" s="40">
        <v>6.6666666666666666E-2</v>
      </c>
      <c r="E21" s="20" t="s">
        <v>38</v>
      </c>
      <c r="F21" s="3">
        <v>18</v>
      </c>
      <c r="G21" s="52"/>
    </row>
    <row r="22" spans="1:11" ht="24" customHeight="1" x14ac:dyDescent="0.25">
      <c r="A22" s="29">
        <f>SUM(B22:D22)</f>
        <v>19648</v>
      </c>
      <c r="B22" s="29">
        <v>6223</v>
      </c>
      <c r="C22" s="41">
        <v>6975</v>
      </c>
      <c r="D22" s="41">
        <v>6450</v>
      </c>
      <c r="E22" s="10" t="s">
        <v>13</v>
      </c>
      <c r="F22" s="3">
        <v>19</v>
      </c>
      <c r="G22" s="48" t="s">
        <v>12</v>
      </c>
    </row>
    <row r="23" spans="1:11" ht="25.5" customHeight="1" x14ac:dyDescent="0.25">
      <c r="A23" s="21">
        <f>SUM(B23:D23)</f>
        <v>1319</v>
      </c>
      <c r="B23" s="21">
        <v>415</v>
      </c>
      <c r="C23" s="33">
        <v>430</v>
      </c>
      <c r="D23" s="33">
        <v>474</v>
      </c>
      <c r="E23" s="9" t="s">
        <v>11</v>
      </c>
      <c r="F23" s="3">
        <v>20</v>
      </c>
      <c r="G23" s="48"/>
    </row>
    <row r="24" spans="1:11" ht="25.5" customHeight="1" x14ac:dyDescent="0.25">
      <c r="A24" s="21">
        <f>SUM(B24:D24)</f>
        <v>615</v>
      </c>
      <c r="B24" s="21">
        <v>208</v>
      </c>
      <c r="C24" s="31">
        <v>245</v>
      </c>
      <c r="D24" s="31">
        <v>162</v>
      </c>
      <c r="E24" s="9" t="s">
        <v>10</v>
      </c>
      <c r="F24" s="3">
        <v>21</v>
      </c>
      <c r="G24" s="48"/>
    </row>
    <row r="25" spans="1:11" ht="25.5" customHeight="1" x14ac:dyDescent="0.25">
      <c r="A25" s="22">
        <f>AVERAGE(B25:D25)</f>
        <v>0.91993333333333338</v>
      </c>
      <c r="B25" s="22">
        <v>0.91959999999999997</v>
      </c>
      <c r="C25" s="32">
        <v>0.92259999999999998</v>
      </c>
      <c r="D25" s="32">
        <v>0.91759999999999997</v>
      </c>
      <c r="E25" s="8" t="s">
        <v>9</v>
      </c>
      <c r="F25" s="3">
        <v>22</v>
      </c>
      <c r="G25" s="47" t="s">
        <v>8</v>
      </c>
    </row>
    <row r="26" spans="1:11" ht="25.5" customHeight="1" x14ac:dyDescent="0.25">
      <c r="A26" s="21">
        <f>SUM(B26:D26)</f>
        <v>783</v>
      </c>
      <c r="B26" s="21">
        <v>263</v>
      </c>
      <c r="C26" s="31">
        <v>286</v>
      </c>
      <c r="D26" s="42">
        <v>234</v>
      </c>
      <c r="E26" s="7" t="s">
        <v>7</v>
      </c>
      <c r="F26" s="3">
        <v>23</v>
      </c>
      <c r="G26" s="48"/>
      <c r="K26" s="5"/>
    </row>
    <row r="27" spans="1:11" ht="25.5" customHeight="1" x14ac:dyDescent="0.25">
      <c r="A27" s="21">
        <f>SUM(B27:D27)</f>
        <v>68</v>
      </c>
      <c r="B27" s="21">
        <v>23</v>
      </c>
      <c r="C27" s="31">
        <v>24</v>
      </c>
      <c r="D27" s="42">
        <v>21</v>
      </c>
      <c r="E27" s="7" t="s">
        <v>6</v>
      </c>
      <c r="F27" s="3">
        <v>24</v>
      </c>
      <c r="G27" s="48"/>
      <c r="K27" s="5"/>
    </row>
    <row r="28" spans="1:11" ht="24" customHeight="1" x14ac:dyDescent="0.25">
      <c r="A28" s="22">
        <f>AVERAGE(B28:D28)</f>
        <v>8.0066666666666661E-2</v>
      </c>
      <c r="B28" s="22">
        <v>8.0399999999999999E-2</v>
      </c>
      <c r="C28" s="32">
        <v>7.7399999999999997E-2</v>
      </c>
      <c r="D28" s="43">
        <v>8.2400000000000001E-2</v>
      </c>
      <c r="E28" s="7" t="s">
        <v>5</v>
      </c>
      <c r="F28" s="3">
        <v>25</v>
      </c>
      <c r="G28" s="49"/>
      <c r="K28" s="5"/>
    </row>
    <row r="29" spans="1:11" ht="23.25" customHeight="1" x14ac:dyDescent="0.25">
      <c r="A29" s="25">
        <f>SUM(B29:D29)</f>
        <v>0.35625000000000001</v>
      </c>
      <c r="B29" s="44">
        <v>0.3354166666666667</v>
      </c>
      <c r="C29" s="45">
        <v>0</v>
      </c>
      <c r="D29" s="35">
        <v>2.0833333333333332E-2</v>
      </c>
      <c r="E29" s="6" t="s">
        <v>4</v>
      </c>
      <c r="F29" s="3">
        <v>26</v>
      </c>
      <c r="G29" s="50" t="s">
        <v>3</v>
      </c>
      <c r="K29" s="5"/>
    </row>
    <row r="30" spans="1:11" ht="26.25" customHeight="1" x14ac:dyDescent="0.25">
      <c r="A30" s="24">
        <f>SUM(B30:D30)</f>
        <v>0.34236111111111112</v>
      </c>
      <c r="B30" s="34">
        <v>2.7777777777777776E-2</v>
      </c>
      <c r="C30" s="45">
        <v>0.1076388888888889</v>
      </c>
      <c r="D30" s="45">
        <v>0.20694444444444446</v>
      </c>
      <c r="E30" s="4" t="s">
        <v>2</v>
      </c>
      <c r="F30" s="3">
        <v>27</v>
      </c>
      <c r="G30" s="51"/>
    </row>
    <row r="31" spans="1:11" ht="25.5" customHeight="1" x14ac:dyDescent="0.25">
      <c r="A31" s="24">
        <f>SUM(B31:D31)</f>
        <v>0.25</v>
      </c>
      <c r="B31" s="34">
        <v>0.14583333333333334</v>
      </c>
      <c r="C31" s="45">
        <v>7.2916666666666671E-2</v>
      </c>
      <c r="D31" s="45">
        <v>3.125E-2</v>
      </c>
      <c r="E31" s="4" t="s">
        <v>1</v>
      </c>
      <c r="F31" s="3">
        <v>28</v>
      </c>
      <c r="G31" s="51"/>
    </row>
    <row r="32" spans="1:11" ht="24.75" customHeight="1" x14ac:dyDescent="0.25">
      <c r="A32" s="30">
        <f>SUM(A29:A30)</f>
        <v>0.69861111111111107</v>
      </c>
      <c r="B32" s="24">
        <f>SUM(B29:B30)</f>
        <v>0.36319444444444449</v>
      </c>
      <c r="C32" s="46">
        <f>SUM(C29:C30)</f>
        <v>0.1076388888888889</v>
      </c>
      <c r="D32" s="46">
        <f>SUM(D29:D30)</f>
        <v>0.2277777777777778</v>
      </c>
      <c r="E32" s="4" t="s">
        <v>0</v>
      </c>
      <c r="F32" s="3">
        <v>29</v>
      </c>
      <c r="G32" s="52"/>
    </row>
    <row r="33" spans="4:4" ht="19.5" customHeight="1" x14ac:dyDescent="0.25">
      <c r="D33" s="2"/>
    </row>
    <row r="34" spans="4:4" ht="19.5" customHeight="1" x14ac:dyDescent="0.25"/>
    <row r="35" spans="4:4" ht="19.5" customHeight="1" x14ac:dyDescent="0.25"/>
    <row r="36" spans="4:4" ht="19.5" customHeight="1" x14ac:dyDescent="0.25"/>
    <row r="37" spans="4:4" ht="19.5" customHeight="1" x14ac:dyDescent="0.25"/>
    <row r="38" spans="4:4" ht="19.5" customHeight="1" x14ac:dyDescent="0.25"/>
    <row r="39" spans="4:4" ht="19.5" customHeight="1" x14ac:dyDescent="0.25"/>
    <row r="40" spans="4:4" ht="19.5" customHeight="1" x14ac:dyDescent="0.25"/>
    <row r="41" spans="4:4" ht="19.5" customHeight="1" x14ac:dyDescent="0.25"/>
    <row r="42" spans="4:4" ht="19.5" customHeight="1" x14ac:dyDescent="0.25"/>
    <row r="43" spans="4:4" ht="19.5" customHeight="1" x14ac:dyDescent="0.25"/>
    <row r="44" spans="4:4" ht="19.5" customHeight="1" x14ac:dyDescent="0.25"/>
    <row r="45" spans="4:4" ht="19.5" customHeight="1" x14ac:dyDescent="0.25"/>
    <row r="46" spans="4:4" ht="19.5" customHeight="1" x14ac:dyDescent="0.25"/>
  </sheetData>
  <mergeCells count="8">
    <mergeCell ref="G25:G28"/>
    <mergeCell ref="G29:G32"/>
    <mergeCell ref="A1:G1"/>
    <mergeCell ref="A2:A3"/>
    <mergeCell ref="E2:F3"/>
    <mergeCell ref="G2:G3"/>
    <mergeCell ref="G4:G21"/>
    <mergeCell ref="G22:G24"/>
  </mergeCells>
  <printOptions horizontalCentered="1"/>
  <pageMargins left="0.25" right="0.25" top="0" bottom="0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به تفکیک شیفت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Kerman Computer</dc:creator>
  <cp:lastModifiedBy>Kerman Computer</cp:lastModifiedBy>
  <cp:lastPrinted>2026-05-03T07:21:55Z</cp:lastPrinted>
  <dcterms:created xsi:type="dcterms:W3CDTF">2026-05-02T10:53:58Z</dcterms:created>
  <dcterms:modified xsi:type="dcterms:W3CDTF">2026-05-03T07:22:01Z</dcterms:modified>
</cp:coreProperties>
</file>