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rman Computer\Desktop\فرم های تولید\فرم های تولید 1405\مرداد\"/>
    </mc:Choice>
  </mc:AlternateContent>
  <xr:revisionPtr revIDLastSave="0" documentId="13_ncr:1_{E3A9CFD6-2BD0-46C8-8363-602FE11A7351}" xr6:coauthVersionLast="47" xr6:coauthVersionMax="47" xr10:uidLastSave="{00000000-0000-0000-0000-000000000000}"/>
  <bookViews>
    <workbookView xWindow="12000" yWindow="0" windowWidth="12000" windowHeight="12900" tabRatio="849" firstSheet="18" activeTab="31" xr2:uid="{88AEFE1F-7BC4-40DD-BD9E-A885280C403E}"/>
  </bookViews>
  <sheets>
    <sheet name="31" sheetId="47" r:id="rId1"/>
    <sheet name="30" sheetId="46" r:id="rId2"/>
    <sheet name="29" sheetId="42" r:id="rId3"/>
    <sheet name="28" sheetId="41" r:id="rId4"/>
    <sheet name="27" sheetId="40" r:id="rId5"/>
    <sheet name="26" sheetId="39" r:id="rId6"/>
    <sheet name="25" sheetId="38" r:id="rId7"/>
    <sheet name="24" sheetId="37" r:id="rId8"/>
    <sheet name="23" sheetId="36" r:id="rId9"/>
    <sheet name="22" sheetId="35" r:id="rId10"/>
    <sheet name="21" sheetId="34" r:id="rId11"/>
    <sheet name="20" sheetId="33" r:id="rId12"/>
    <sheet name="19" sheetId="44" r:id="rId13"/>
    <sheet name="18" sheetId="32" r:id="rId14"/>
    <sheet name="17" sheetId="31" r:id="rId15"/>
    <sheet name="16" sheetId="30" r:id="rId16"/>
    <sheet name="15" sheetId="29" r:id="rId17"/>
    <sheet name="14" sheetId="28" r:id="rId18"/>
    <sheet name="13" sheetId="27" r:id="rId19"/>
    <sheet name="12" sheetId="26" r:id="rId20"/>
    <sheet name="11" sheetId="24" r:id="rId21"/>
    <sheet name="10" sheetId="23" r:id="rId22"/>
    <sheet name="9" sheetId="22" r:id="rId23"/>
    <sheet name="8" sheetId="19" r:id="rId24"/>
    <sheet name="7" sheetId="25" r:id="rId25"/>
    <sheet name="6" sheetId="20" r:id="rId26"/>
    <sheet name="5" sheetId="45" r:id="rId27"/>
    <sheet name="4" sheetId="18" r:id="rId28"/>
    <sheet name="3" sheetId="17" r:id="rId29"/>
    <sheet name="2" sheetId="16" r:id="rId30"/>
    <sheet name="1" sheetId="15" r:id="rId31"/>
    <sheet name="کل" sheetId="5" r:id="rId32"/>
  </sheets>
  <definedNames>
    <definedName name="_xlnm._FilterDatabase" localSheetId="30" hidden="1">'1'!$V$5:$Y$23</definedName>
    <definedName name="_xlnm._FilterDatabase" localSheetId="21" hidden="1">'10'!$V$5:$Y$23</definedName>
    <definedName name="_xlnm._FilterDatabase" localSheetId="20" hidden="1">'11'!$V$5:$Y$23</definedName>
    <definedName name="_xlnm._FilterDatabase" localSheetId="19" hidden="1">'12'!$V$5:$Y$23</definedName>
    <definedName name="_xlnm._FilterDatabase" localSheetId="18" hidden="1">'13'!$V$5:$Y$23</definedName>
    <definedName name="_xlnm._FilterDatabase" localSheetId="17" hidden="1">'14'!$V$5:$Y$23</definedName>
    <definedName name="_xlnm._FilterDatabase" localSheetId="16" hidden="1">'15'!$V$5:$Y$23</definedName>
    <definedName name="_xlnm._FilterDatabase" localSheetId="15" hidden="1">'16'!$V$5:$Y$23</definedName>
    <definedName name="_xlnm._FilterDatabase" localSheetId="14" hidden="1">'17'!$V$5:$Y$23</definedName>
    <definedName name="_xlnm._FilterDatabase" localSheetId="13" hidden="1">'18'!$V$5:$Y$23</definedName>
    <definedName name="_xlnm._FilterDatabase" localSheetId="12" hidden="1">'19'!$V$5:$Y$23</definedName>
    <definedName name="_xlnm._FilterDatabase" localSheetId="29" hidden="1">'2'!$V$5:$Y$23</definedName>
    <definedName name="_xlnm._FilterDatabase" localSheetId="11" hidden="1">'20'!$V$5:$Y$23</definedName>
    <definedName name="_xlnm._FilterDatabase" localSheetId="10" hidden="1">'21'!$V$5:$Y$23</definedName>
    <definedName name="_xlnm._FilterDatabase" localSheetId="9" hidden="1">'22'!$V$5:$Y$23</definedName>
    <definedName name="_xlnm._FilterDatabase" localSheetId="8" hidden="1">'23'!$V$5:$Y$23</definedName>
    <definedName name="_xlnm._FilterDatabase" localSheetId="7" hidden="1">'24'!$V$5:$Y$23</definedName>
    <definedName name="_xlnm._FilterDatabase" localSheetId="6" hidden="1">'25'!$V$5:$Y$23</definedName>
    <definedName name="_xlnm._FilterDatabase" localSheetId="5" hidden="1">'26'!$V$5:$Y$23</definedName>
    <definedName name="_xlnm._FilterDatabase" localSheetId="4" hidden="1">'27'!$V$5:$Y$23</definedName>
    <definedName name="_xlnm._FilterDatabase" localSheetId="3" hidden="1">'28'!$V$5:$Y$23</definedName>
    <definedName name="_xlnm._FilterDatabase" localSheetId="2" hidden="1">'29'!$V$5:$Y$23</definedName>
    <definedName name="_xlnm._FilterDatabase" localSheetId="28" hidden="1">'3'!$V$5:$Y$23</definedName>
    <definedName name="_xlnm._FilterDatabase" localSheetId="1" hidden="1">'30'!$V$5:$Y$23</definedName>
    <definedName name="_xlnm._FilterDatabase" localSheetId="0" hidden="1">'31'!$V$5:$Y$23</definedName>
    <definedName name="_xlnm._FilterDatabase" localSheetId="27" hidden="1">'4'!$V$5:$Y$23</definedName>
    <definedName name="_xlnm._FilterDatabase" localSheetId="26" hidden="1">'5'!$V$5:$Y$23</definedName>
    <definedName name="_xlnm._FilterDatabase" localSheetId="25" hidden="1">'6'!$V$5:$Y$23</definedName>
    <definedName name="_xlnm._FilterDatabase" localSheetId="24" hidden="1">'7'!$V$5:$Y$23</definedName>
    <definedName name="_xlnm._FilterDatabase" localSheetId="23" hidden="1">'8'!$V$5:$Y$23</definedName>
    <definedName name="_xlnm._FilterDatabase" localSheetId="22" hidden="1">'9'!$V$5:$Y$23</definedName>
    <definedName name="_xlnm.Print_Area" localSheetId="30">'1'!$S$1:$BB$26</definedName>
    <definedName name="_xlnm.Print_Area" localSheetId="21">'10'!$S$1:$BB$26</definedName>
    <definedName name="_xlnm.Print_Area" localSheetId="20">'11'!$S$1:$BB$26</definedName>
    <definedName name="_xlnm.Print_Area" localSheetId="19">'12'!$S$1:$BB$26</definedName>
    <definedName name="_xlnm.Print_Area" localSheetId="18">'13'!$S$1:$BB$26</definedName>
    <definedName name="_xlnm.Print_Area" localSheetId="17">'14'!$S$1:$BB$26</definedName>
    <definedName name="_xlnm.Print_Area" localSheetId="16">'15'!$S$1:$BB$26</definedName>
    <definedName name="_xlnm.Print_Area" localSheetId="15">'16'!$S$1:$BB$26</definedName>
    <definedName name="_xlnm.Print_Area" localSheetId="14">'17'!$S$1:$BB$26</definedName>
    <definedName name="_xlnm.Print_Area" localSheetId="13">'18'!$S$1:$BB$26</definedName>
    <definedName name="_xlnm.Print_Area" localSheetId="12">'19'!$S$1:$BB$26</definedName>
    <definedName name="_xlnm.Print_Area" localSheetId="29">'2'!$S$1:$BB$26</definedName>
    <definedName name="_xlnm.Print_Area" localSheetId="11">'20'!$S$1:$BB$26</definedName>
    <definedName name="_xlnm.Print_Area" localSheetId="10">'21'!$S$1:$BB$26</definedName>
    <definedName name="_xlnm.Print_Area" localSheetId="9">'22'!$S$1:$BB$26</definedName>
    <definedName name="_xlnm.Print_Area" localSheetId="8">'23'!$S$1:$BB$26</definedName>
    <definedName name="_xlnm.Print_Area" localSheetId="7">'24'!$S$1:$BB$26</definedName>
    <definedName name="_xlnm.Print_Area" localSheetId="6">'25'!$S$1:$BB$26</definedName>
    <definedName name="_xlnm.Print_Area" localSheetId="5">'26'!$S$1:$BB$26</definedName>
    <definedName name="_xlnm.Print_Area" localSheetId="4">'27'!$S$1:$BB$26</definedName>
    <definedName name="_xlnm.Print_Area" localSheetId="3">'28'!$S$1:$BB$26</definedName>
    <definedName name="_xlnm.Print_Area" localSheetId="2">'29'!$S$1:$BB$26</definedName>
    <definedName name="_xlnm.Print_Area" localSheetId="28">'3'!$S$1:$BB$26</definedName>
    <definedName name="_xlnm.Print_Area" localSheetId="1">'30'!$S$1:$BB$26</definedName>
    <definedName name="_xlnm.Print_Area" localSheetId="0">'31'!$S$1:$BB$26</definedName>
    <definedName name="_xlnm.Print_Area" localSheetId="27">'4'!$S$1:$BB$26</definedName>
    <definedName name="_xlnm.Print_Area" localSheetId="26">'5'!$S$1:$BB$26</definedName>
    <definedName name="_xlnm.Print_Area" localSheetId="25">'6'!$S$1:$BB$26</definedName>
    <definedName name="_xlnm.Print_Area" localSheetId="24">'7'!$S$1:$BB$26</definedName>
    <definedName name="_xlnm.Print_Area" localSheetId="23">'8'!$S$1:$BB$26</definedName>
    <definedName name="_xlnm.Print_Area" localSheetId="22">'9'!$S$1:$BB$26</definedName>
    <definedName name="_xlnm.Print_Area" localSheetId="31">کل!$A$1:$T$36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14" i="17" l="1"/>
  <c r="AQ24" i="17"/>
  <c r="AC10" i="15" l="1"/>
  <c r="AC7" i="15"/>
  <c r="AQ24" i="16" l="1"/>
  <c r="AD33" i="5"/>
  <c r="AC33" i="5"/>
  <c r="AB33" i="5"/>
  <c r="Y33" i="5"/>
  <c r="X33" i="5"/>
  <c r="W33" i="5"/>
  <c r="AN24" i="15"/>
  <c r="AJ24" i="15"/>
  <c r="C34" i="5"/>
  <c r="Z14" i="28" l="1"/>
  <c r="AC25" i="47" l="1"/>
  <c r="Z25" i="47"/>
  <c r="Y25" i="47"/>
  <c r="AY24" i="47"/>
  <c r="AW24" i="47"/>
  <c r="AU24" i="47"/>
  <c r="AY23" i="47"/>
  <c r="AW23" i="47"/>
  <c r="AU23" i="47"/>
  <c r="AL22" i="47"/>
  <c r="AI22" i="47"/>
  <c r="AG22" i="47"/>
  <c r="X22" i="47"/>
  <c r="X21" i="47"/>
  <c r="AZ20" i="47"/>
  <c r="AY20" i="47"/>
  <c r="AX20" i="47"/>
  <c r="AW20" i="47"/>
  <c r="AU20" i="47"/>
  <c r="X20" i="47"/>
  <c r="AZ19" i="47"/>
  <c r="AY19" i="47"/>
  <c r="AX19" i="47"/>
  <c r="AW19" i="47"/>
  <c r="AU19" i="47"/>
  <c r="X19" i="47"/>
  <c r="AZ18" i="47"/>
  <c r="AY18" i="47"/>
  <c r="AX18" i="47"/>
  <c r="AW18" i="47"/>
  <c r="AU18" i="47"/>
  <c r="X18" i="47"/>
  <c r="X23" i="47" s="1"/>
  <c r="BB15" i="47"/>
  <c r="AX15" i="47"/>
  <c r="Z15" i="47"/>
  <c r="BB14" i="47"/>
  <c r="AX14" i="47" s="1"/>
  <c r="Z14" i="47"/>
  <c r="BB13" i="47"/>
  <c r="AL20" i="47" s="1"/>
  <c r="Z13" i="47"/>
  <c r="BB12" i="47"/>
  <c r="AX12" i="47" s="1"/>
  <c r="Z12" i="47"/>
  <c r="BB11" i="47"/>
  <c r="AX11" i="47" s="1"/>
  <c r="Z11" i="47"/>
  <c r="BB10" i="47"/>
  <c r="Z10" i="47"/>
  <c r="BB9" i="47"/>
  <c r="AX9" i="47" s="1"/>
  <c r="Z9" i="47"/>
  <c r="BB8" i="47"/>
  <c r="AX8" i="47" s="1"/>
  <c r="Z8" i="47"/>
  <c r="BB7" i="47"/>
  <c r="Z7" i="47"/>
  <c r="AJ24" i="47" s="1"/>
  <c r="AQ25" i="47" l="1"/>
  <c r="AQ24" i="47"/>
  <c r="AO22" i="47"/>
  <c r="AG20" i="47"/>
  <c r="BA24" i="47"/>
  <c r="AN24" i="47"/>
  <c r="AI20" i="47"/>
  <c r="BA18" i="47"/>
  <c r="BA23" i="47"/>
  <c r="AX7" i="47"/>
  <c r="AG18" i="47" s="1"/>
  <c r="BA19" i="47"/>
  <c r="BA20" i="47"/>
  <c r="AE25" i="47"/>
  <c r="AX10" i="47"/>
  <c r="AI18" i="47" s="1"/>
  <c r="AJ25" i="47"/>
  <c r="AX13" i="47"/>
  <c r="AL18" i="47" s="1"/>
  <c r="AN25" i="47"/>
  <c r="AC25" i="46"/>
  <c r="Z25" i="46"/>
  <c r="Y25" i="46"/>
  <c r="AY24" i="46"/>
  <c r="AW24" i="46"/>
  <c r="AU24" i="46"/>
  <c r="AY23" i="46"/>
  <c r="AW23" i="46"/>
  <c r="AU23" i="46"/>
  <c r="AL22" i="46"/>
  <c r="AI22" i="46"/>
  <c r="AG22" i="46"/>
  <c r="AO22" i="46" s="1"/>
  <c r="X22" i="46"/>
  <c r="X21" i="46"/>
  <c r="AZ20" i="46"/>
  <c r="AY20" i="46"/>
  <c r="AX20" i="46"/>
  <c r="AW20" i="46"/>
  <c r="AU20" i="46"/>
  <c r="X20" i="46"/>
  <c r="AZ19" i="46"/>
  <c r="AY19" i="46"/>
  <c r="AX19" i="46"/>
  <c r="AW19" i="46"/>
  <c r="AU19" i="46"/>
  <c r="X19" i="46"/>
  <c r="AZ18" i="46"/>
  <c r="AY18" i="46"/>
  <c r="AX18" i="46"/>
  <c r="AW18" i="46"/>
  <c r="AU18" i="46"/>
  <c r="X18" i="46"/>
  <c r="X23" i="46" s="1"/>
  <c r="BB15" i="46"/>
  <c r="AX15" i="46" s="1"/>
  <c r="Z15" i="46"/>
  <c r="BB14" i="46"/>
  <c r="AX14" i="46" s="1"/>
  <c r="Z14" i="46"/>
  <c r="BB13" i="46"/>
  <c r="Z13" i="46"/>
  <c r="AQ24" i="46" s="1"/>
  <c r="BB12" i="46"/>
  <c r="AX12" i="46" s="1"/>
  <c r="Z12" i="46"/>
  <c r="BB11" i="46"/>
  <c r="AX11" i="46" s="1"/>
  <c r="Z11" i="46"/>
  <c r="BB10" i="46"/>
  <c r="AX10" i="46" s="1"/>
  <c r="Z10" i="46"/>
  <c r="AN24" i="46" s="1"/>
  <c r="BB9" i="46"/>
  <c r="AX9" i="46" s="1"/>
  <c r="Z9" i="46"/>
  <c r="BB8" i="46"/>
  <c r="AX8" i="46" s="1"/>
  <c r="Z8" i="46"/>
  <c r="BB7" i="46"/>
  <c r="AX7" i="46" s="1"/>
  <c r="Z7" i="46"/>
  <c r="AJ24" i="46" s="1"/>
  <c r="AO20" i="47" l="1"/>
  <c r="BA23" i="46"/>
  <c r="AO18" i="47"/>
  <c r="BA19" i="46"/>
  <c r="AQ25" i="46"/>
  <c r="AG20" i="46"/>
  <c r="AI18" i="46"/>
  <c r="AL20" i="46"/>
  <c r="BA20" i="46"/>
  <c r="AE25" i="46"/>
  <c r="AI20" i="46"/>
  <c r="BA18" i="46"/>
  <c r="BA24" i="46"/>
  <c r="AG18" i="46"/>
  <c r="AJ25" i="46"/>
  <c r="AX13" i="46"/>
  <c r="AL18" i="46" s="1"/>
  <c r="AN25" i="46"/>
  <c r="C33" i="5"/>
  <c r="E34" i="5"/>
  <c r="R34" i="5"/>
  <c r="S34" i="5"/>
  <c r="T34" i="5"/>
  <c r="T33" i="5"/>
  <c r="S33" i="5"/>
  <c r="R33" i="5"/>
  <c r="O33" i="5"/>
  <c r="N33" i="5"/>
  <c r="M33" i="5"/>
  <c r="J33" i="5"/>
  <c r="I33" i="5"/>
  <c r="H33" i="5"/>
  <c r="D34" i="5"/>
  <c r="E33" i="5"/>
  <c r="D33" i="5"/>
  <c r="D36" i="5" l="1"/>
  <c r="AO20" i="46"/>
  <c r="AO18" i="46"/>
  <c r="AC25" i="38"/>
  <c r="Z25" i="39"/>
  <c r="AC25" i="25" l="1"/>
  <c r="Z25" i="25"/>
  <c r="Z25" i="42"/>
  <c r="Z25" i="41"/>
  <c r="Y25" i="42"/>
  <c r="Z25" i="33"/>
  <c r="Z9" i="32" l="1"/>
  <c r="X20" i="23"/>
  <c r="AC25" i="29" l="1"/>
  <c r="Y25" i="29"/>
  <c r="AC25" i="30"/>
  <c r="Z25" i="30"/>
  <c r="Z25" i="31"/>
  <c r="Y25" i="31"/>
  <c r="AC25" i="27"/>
  <c r="AU23" i="22"/>
  <c r="AC25" i="22"/>
  <c r="Y25" i="22"/>
  <c r="AC25" i="45" l="1"/>
  <c r="Z25" i="45"/>
  <c r="Y25" i="45"/>
  <c r="AY24" i="45"/>
  <c r="AW24" i="45"/>
  <c r="AU24" i="45"/>
  <c r="AY23" i="45"/>
  <c r="AW23" i="45"/>
  <c r="AU23" i="45"/>
  <c r="AL22" i="45"/>
  <c r="AI22" i="45"/>
  <c r="AG22" i="45"/>
  <c r="X22" i="45"/>
  <c r="X21" i="45"/>
  <c r="AZ20" i="45"/>
  <c r="AY20" i="45"/>
  <c r="AX20" i="45"/>
  <c r="AW20" i="45"/>
  <c r="AU20" i="45"/>
  <c r="X20" i="45"/>
  <c r="AZ19" i="45"/>
  <c r="AY19" i="45"/>
  <c r="AX19" i="45"/>
  <c r="AW19" i="45"/>
  <c r="AU19" i="45"/>
  <c r="X19" i="45"/>
  <c r="X23" i="45" s="1"/>
  <c r="AZ18" i="45"/>
  <c r="AY18" i="45"/>
  <c r="AX18" i="45"/>
  <c r="AW18" i="45"/>
  <c r="AU18" i="45"/>
  <c r="X18" i="45"/>
  <c r="BB15" i="45"/>
  <c r="AX15" i="45" s="1"/>
  <c r="Z15" i="45"/>
  <c r="BB14" i="45"/>
  <c r="AX14" i="45" s="1"/>
  <c r="Z14" i="45"/>
  <c r="BB13" i="45"/>
  <c r="AX13" i="45" s="1"/>
  <c r="Z13" i="45"/>
  <c r="AQ24" i="45" s="1"/>
  <c r="BB12" i="45"/>
  <c r="AX12" i="45" s="1"/>
  <c r="Z12" i="45"/>
  <c r="BB11" i="45"/>
  <c r="AX11" i="45" s="1"/>
  <c r="Z11" i="45"/>
  <c r="BB10" i="45"/>
  <c r="AX10" i="45" s="1"/>
  <c r="Z10" i="45"/>
  <c r="AN24" i="45" s="1"/>
  <c r="BB9" i="45"/>
  <c r="AX9" i="45" s="1"/>
  <c r="Z9" i="45"/>
  <c r="BB8" i="45"/>
  <c r="AX8" i="45" s="1"/>
  <c r="Z8" i="45"/>
  <c r="BB7" i="45"/>
  <c r="AX7" i="45" s="1"/>
  <c r="Z7" i="45"/>
  <c r="Z25" i="18"/>
  <c r="AC25" i="18"/>
  <c r="AC25" i="17"/>
  <c r="Z25" i="16"/>
  <c r="Y25" i="16"/>
  <c r="AC25" i="15"/>
  <c r="Z25" i="15"/>
  <c r="AJ24" i="45" l="1"/>
  <c r="AO22" i="45"/>
  <c r="AL18" i="45"/>
  <c r="AQ25" i="45"/>
  <c r="BA20" i="45"/>
  <c r="AE25" i="45"/>
  <c r="BA24" i="45"/>
  <c r="AI20" i="45"/>
  <c r="BA19" i="45"/>
  <c r="AI18" i="45"/>
  <c r="AG18" i="45"/>
  <c r="AG20" i="45"/>
  <c r="BA18" i="45"/>
  <c r="BA23" i="45"/>
  <c r="AL20" i="45"/>
  <c r="AJ25" i="45"/>
  <c r="AN25" i="45"/>
  <c r="AO20" i="45" l="1"/>
  <c r="AO18" i="45"/>
  <c r="AU23" i="24"/>
  <c r="Z25" i="24"/>
  <c r="Y25" i="24"/>
  <c r="Y25" i="26"/>
  <c r="AC25" i="26"/>
  <c r="Z25" i="27"/>
  <c r="AC25" i="23" l="1"/>
  <c r="Z25" i="23"/>
  <c r="Y25" i="40" l="1"/>
  <c r="Z25" i="37" l="1"/>
  <c r="Z13" i="36" l="1"/>
  <c r="AC25" i="35"/>
  <c r="Y25" i="35"/>
  <c r="Y25" i="34" l="1"/>
  <c r="AU23" i="32" l="1"/>
  <c r="AC25" i="32"/>
  <c r="Y25" i="32"/>
  <c r="AW23" i="20" l="1"/>
  <c r="Z25" i="20"/>
  <c r="AC25" i="20"/>
  <c r="AC25" i="19"/>
  <c r="Y25" i="19"/>
  <c r="Z25" i="17" l="1"/>
  <c r="AC25" i="16"/>
  <c r="Y25" i="15"/>
  <c r="AU18" i="18"/>
  <c r="AZ19" i="18"/>
  <c r="AY19" i="18"/>
  <c r="AX19" i="18"/>
  <c r="AW19" i="18"/>
  <c r="AU19" i="18"/>
  <c r="AZ18" i="18"/>
  <c r="AY18" i="18"/>
  <c r="AX18" i="18"/>
  <c r="AW18" i="18"/>
  <c r="AW24" i="18"/>
  <c r="AU24" i="18"/>
  <c r="AW23" i="18"/>
  <c r="AU23" i="18"/>
  <c r="Y25" i="18"/>
  <c r="AC25" i="44" l="1"/>
  <c r="Z25" i="44"/>
  <c r="Y25" i="44"/>
  <c r="AY24" i="44"/>
  <c r="AW24" i="44"/>
  <c r="AU24" i="44"/>
  <c r="AY23" i="44"/>
  <c r="AW23" i="44"/>
  <c r="AU23" i="44"/>
  <c r="AL22" i="44"/>
  <c r="AI22" i="44"/>
  <c r="AO22" i="44" s="1"/>
  <c r="AG22" i="44"/>
  <c r="X22" i="44"/>
  <c r="X21" i="44"/>
  <c r="AZ20" i="44"/>
  <c r="AY20" i="44"/>
  <c r="AX20" i="44"/>
  <c r="AW20" i="44"/>
  <c r="AU20" i="44"/>
  <c r="X20" i="44"/>
  <c r="AZ19" i="44"/>
  <c r="AY19" i="44"/>
  <c r="AX19" i="44"/>
  <c r="AW19" i="44"/>
  <c r="AU19" i="44"/>
  <c r="X19" i="44"/>
  <c r="AZ18" i="44"/>
  <c r="AY18" i="44"/>
  <c r="AX18" i="44"/>
  <c r="AW18" i="44"/>
  <c r="AU18" i="44"/>
  <c r="X18" i="44"/>
  <c r="BB15" i="44"/>
  <c r="AX15" i="44" s="1"/>
  <c r="Z15" i="44"/>
  <c r="BB14" i="44"/>
  <c r="AX14" i="44" s="1"/>
  <c r="Z14" i="44"/>
  <c r="BB13" i="44"/>
  <c r="Z13" i="44"/>
  <c r="AQ24" i="44" s="1"/>
  <c r="BB12" i="44"/>
  <c r="AX12" i="44" s="1"/>
  <c r="Z12" i="44"/>
  <c r="BB11" i="44"/>
  <c r="AX11" i="44" s="1"/>
  <c r="Z11" i="44"/>
  <c r="BB10" i="44"/>
  <c r="Z10" i="44"/>
  <c r="AN24" i="44" s="1"/>
  <c r="BB9" i="44"/>
  <c r="AX9" i="44" s="1"/>
  <c r="Z9" i="44"/>
  <c r="BB8" i="44"/>
  <c r="AX8" i="44" s="1"/>
  <c r="Z8" i="44"/>
  <c r="BB7" i="44"/>
  <c r="AX7" i="44"/>
  <c r="Z7" i="44"/>
  <c r="AC25" i="42"/>
  <c r="AY24" i="42"/>
  <c r="AW24" i="42"/>
  <c r="AU24" i="42"/>
  <c r="AY23" i="42"/>
  <c r="AW23" i="42"/>
  <c r="AU23" i="42"/>
  <c r="AL22" i="42"/>
  <c r="AI22" i="42"/>
  <c r="AG22" i="42"/>
  <c r="AO22" i="42" s="1"/>
  <c r="X22" i="42"/>
  <c r="X21" i="42"/>
  <c r="AZ20" i="42"/>
  <c r="AY20" i="42"/>
  <c r="AX20" i="42"/>
  <c r="AW20" i="42"/>
  <c r="AU20" i="42"/>
  <c r="X20" i="42"/>
  <c r="AZ19" i="42"/>
  <c r="AY19" i="42"/>
  <c r="AX19" i="42"/>
  <c r="AW19" i="42"/>
  <c r="AU19" i="42"/>
  <c r="X19" i="42"/>
  <c r="AZ18" i="42"/>
  <c r="AY18" i="42"/>
  <c r="AX18" i="42"/>
  <c r="AW18" i="42"/>
  <c r="AU18" i="42"/>
  <c r="X18" i="42"/>
  <c r="BB15" i="42"/>
  <c r="AX15" i="42" s="1"/>
  <c r="Z15" i="42"/>
  <c r="BB14" i="42"/>
  <c r="AX14" i="42" s="1"/>
  <c r="Z14" i="42"/>
  <c r="BB13" i="42"/>
  <c r="Z13" i="42"/>
  <c r="BB12" i="42"/>
  <c r="AX12" i="42" s="1"/>
  <c r="Z12" i="42"/>
  <c r="BB11" i="42"/>
  <c r="AX11" i="42" s="1"/>
  <c r="Z11" i="42"/>
  <c r="BB10" i="42"/>
  <c r="Z10" i="42"/>
  <c r="AN24" i="42" s="1"/>
  <c r="BB9" i="42"/>
  <c r="AX9" i="42" s="1"/>
  <c r="Z9" i="42"/>
  <c r="BB8" i="42"/>
  <c r="AX8" i="42" s="1"/>
  <c r="Z8" i="42"/>
  <c r="BB7" i="42"/>
  <c r="Z7" i="42"/>
  <c r="AQ24" i="42" l="1"/>
  <c r="AJ24" i="44"/>
  <c r="AJ24" i="42"/>
  <c r="AG20" i="44"/>
  <c r="BA18" i="44"/>
  <c r="X23" i="44"/>
  <c r="X23" i="42"/>
  <c r="BA23" i="42"/>
  <c r="AG20" i="42"/>
  <c r="BA18" i="42"/>
  <c r="AX7" i="42"/>
  <c r="AG18" i="42" s="1"/>
  <c r="AL20" i="44"/>
  <c r="AE25" i="44"/>
  <c r="AI20" i="44"/>
  <c r="AI20" i="42"/>
  <c r="AL20" i="42"/>
  <c r="AQ25" i="44"/>
  <c r="BA20" i="44"/>
  <c r="BA24" i="44"/>
  <c r="AX13" i="44"/>
  <c r="AL18" i="44" s="1"/>
  <c r="BA19" i="44"/>
  <c r="BA23" i="44"/>
  <c r="BA24" i="42"/>
  <c r="BA19" i="42"/>
  <c r="AQ25" i="42"/>
  <c r="BA20" i="42"/>
  <c r="AE25" i="42"/>
  <c r="AG18" i="44"/>
  <c r="AX10" i="44"/>
  <c r="AI18" i="44" s="1"/>
  <c r="AJ25" i="44"/>
  <c r="AN25" i="44"/>
  <c r="AX10" i="42"/>
  <c r="AI18" i="42" s="1"/>
  <c r="AJ25" i="42"/>
  <c r="AX13" i="42"/>
  <c r="AL18" i="42" s="1"/>
  <c r="AN25" i="42"/>
  <c r="AC25" i="41"/>
  <c r="Y25" i="41"/>
  <c r="AY24" i="41"/>
  <c r="AW24" i="41"/>
  <c r="AU24" i="41"/>
  <c r="AY23" i="41"/>
  <c r="AW23" i="41"/>
  <c r="AU23" i="41"/>
  <c r="AL22" i="41"/>
  <c r="AI22" i="41"/>
  <c r="AO22" i="41" s="1"/>
  <c r="AG22" i="41"/>
  <c r="X22" i="41"/>
  <c r="X21" i="41"/>
  <c r="AZ20" i="41"/>
  <c r="AY20" i="41"/>
  <c r="AX20" i="41"/>
  <c r="AW20" i="41"/>
  <c r="AU20" i="41"/>
  <c r="X20" i="41"/>
  <c r="AZ19" i="41"/>
  <c r="AY19" i="41"/>
  <c r="AX19" i="41"/>
  <c r="AW19" i="41"/>
  <c r="AU19" i="41"/>
  <c r="X19" i="41"/>
  <c r="AZ18" i="41"/>
  <c r="AY18" i="41"/>
  <c r="AX18" i="41"/>
  <c r="AW18" i="41"/>
  <c r="AU18" i="41"/>
  <c r="X18" i="41"/>
  <c r="BB15" i="41"/>
  <c r="AX15" i="41" s="1"/>
  <c r="Z15" i="41"/>
  <c r="BB14" i="41"/>
  <c r="AX14" i="41" s="1"/>
  <c r="Z14" i="41"/>
  <c r="BB13" i="41"/>
  <c r="Z13" i="41"/>
  <c r="AQ24" i="41" s="1"/>
  <c r="BB12" i="41"/>
  <c r="AX12" i="41" s="1"/>
  <c r="Z12" i="41"/>
  <c r="BB11" i="41"/>
  <c r="AX11" i="41" s="1"/>
  <c r="Z11" i="41"/>
  <c r="BB10" i="41"/>
  <c r="Z10" i="41"/>
  <c r="BB9" i="41"/>
  <c r="AX9" i="41" s="1"/>
  <c r="Z9" i="41"/>
  <c r="BB8" i="41"/>
  <c r="AX8" i="41" s="1"/>
  <c r="Z8" i="41"/>
  <c r="BB7" i="41"/>
  <c r="Z7" i="41"/>
  <c r="AJ24" i="41" s="1"/>
  <c r="AC25" i="40"/>
  <c r="Z25" i="40"/>
  <c r="AY24" i="40"/>
  <c r="AW24" i="40"/>
  <c r="AU24" i="40"/>
  <c r="AY23" i="40"/>
  <c r="AW23" i="40"/>
  <c r="AU23" i="40"/>
  <c r="AL22" i="40"/>
  <c r="AI22" i="40"/>
  <c r="AG22" i="40"/>
  <c r="X22" i="40"/>
  <c r="X21" i="40"/>
  <c r="AZ20" i="40"/>
  <c r="AY20" i="40"/>
  <c r="AX20" i="40"/>
  <c r="AW20" i="40"/>
  <c r="AU20" i="40"/>
  <c r="X20" i="40"/>
  <c r="AZ19" i="40"/>
  <c r="AY19" i="40"/>
  <c r="AX19" i="40"/>
  <c r="AW19" i="40"/>
  <c r="AU19" i="40"/>
  <c r="X19" i="40"/>
  <c r="AZ18" i="40"/>
  <c r="AY18" i="40"/>
  <c r="AX18" i="40"/>
  <c r="AW18" i="40"/>
  <c r="AU18" i="40"/>
  <c r="X18" i="40"/>
  <c r="BB15" i="40"/>
  <c r="AX15" i="40" s="1"/>
  <c r="Z15" i="40"/>
  <c r="BB14" i="40"/>
  <c r="AX14" i="40" s="1"/>
  <c r="Z14" i="40"/>
  <c r="BB13" i="40"/>
  <c r="Z13" i="40"/>
  <c r="AQ24" i="40" s="1"/>
  <c r="BB12" i="40"/>
  <c r="AX12" i="40" s="1"/>
  <c r="Z12" i="40"/>
  <c r="BB11" i="40"/>
  <c r="AX11" i="40" s="1"/>
  <c r="Z11" i="40"/>
  <c r="BB10" i="40"/>
  <c r="Z10" i="40"/>
  <c r="BB9" i="40"/>
  <c r="AX9" i="40" s="1"/>
  <c r="Z9" i="40"/>
  <c r="BB8" i="40"/>
  <c r="AX8" i="40" s="1"/>
  <c r="Z8" i="40"/>
  <c r="BB7" i="40"/>
  <c r="AX7" i="40" s="1"/>
  <c r="Z7" i="40"/>
  <c r="AJ24" i="40" s="1"/>
  <c r="AN24" i="41" l="1"/>
  <c r="X23" i="41"/>
  <c r="AN24" i="40"/>
  <c r="AO22" i="40"/>
  <c r="X23" i="40"/>
  <c r="AG20" i="41"/>
  <c r="AQ25" i="41"/>
  <c r="AO20" i="42"/>
  <c r="AE25" i="41"/>
  <c r="AL20" i="41"/>
  <c r="BA20" i="41"/>
  <c r="AI20" i="40"/>
  <c r="AO20" i="44"/>
  <c r="AI20" i="41"/>
  <c r="AX10" i="40"/>
  <c r="AI18" i="40" s="1"/>
  <c r="BA19" i="41"/>
  <c r="BA23" i="41"/>
  <c r="BA24" i="41"/>
  <c r="AX10" i="41"/>
  <c r="AI18" i="41" s="1"/>
  <c r="BA18" i="40"/>
  <c r="BA19" i="40"/>
  <c r="BA24" i="40"/>
  <c r="BA18" i="41"/>
  <c r="AX7" i="41"/>
  <c r="AG18" i="41" s="1"/>
  <c r="AO18" i="44"/>
  <c r="AO18" i="42"/>
  <c r="BA20" i="40"/>
  <c r="BA23" i="40"/>
  <c r="AL20" i="40"/>
  <c r="AQ25" i="40"/>
  <c r="AE25" i="40"/>
  <c r="AJ25" i="41"/>
  <c r="AX13" i="41"/>
  <c r="AL18" i="41" s="1"/>
  <c r="AN25" i="41"/>
  <c r="AG18" i="40"/>
  <c r="AG20" i="40"/>
  <c r="AJ25" i="40"/>
  <c r="AX13" i="40"/>
  <c r="AL18" i="40" s="1"/>
  <c r="AN25" i="40"/>
  <c r="AC25" i="39"/>
  <c r="Y25" i="39"/>
  <c r="AY24" i="39"/>
  <c r="AW24" i="39"/>
  <c r="AU24" i="39"/>
  <c r="AY23" i="39"/>
  <c r="AW23" i="39"/>
  <c r="AU23" i="39"/>
  <c r="AL22" i="39"/>
  <c r="AI22" i="39"/>
  <c r="AG22" i="39"/>
  <c r="X22" i="39"/>
  <c r="X21" i="39"/>
  <c r="AZ20" i="39"/>
  <c r="AY20" i="39"/>
  <c r="AX20" i="39"/>
  <c r="AW20" i="39"/>
  <c r="AU20" i="39"/>
  <c r="X20" i="39"/>
  <c r="AZ19" i="39"/>
  <c r="AY19" i="39"/>
  <c r="AX19" i="39"/>
  <c r="AW19" i="39"/>
  <c r="AU19" i="39"/>
  <c r="X19" i="39"/>
  <c r="AZ18" i="39"/>
  <c r="AY18" i="39"/>
  <c r="AX18" i="39"/>
  <c r="AW18" i="39"/>
  <c r="AU18" i="39"/>
  <c r="X18" i="39"/>
  <c r="BB15" i="39"/>
  <c r="AX15" i="39" s="1"/>
  <c r="Z15" i="39"/>
  <c r="BB14" i="39"/>
  <c r="AX14" i="39" s="1"/>
  <c r="Z14" i="39"/>
  <c r="BB13" i="39"/>
  <c r="AX13" i="39" s="1"/>
  <c r="Z13" i="39"/>
  <c r="BB12" i="39"/>
  <c r="AX12" i="39" s="1"/>
  <c r="Z12" i="39"/>
  <c r="BB11" i="39"/>
  <c r="AX11" i="39" s="1"/>
  <c r="Z11" i="39"/>
  <c r="BB10" i="39"/>
  <c r="Z10" i="39"/>
  <c r="AN24" i="39" s="1"/>
  <c r="BB9" i="39"/>
  <c r="AX9" i="39" s="1"/>
  <c r="Z9" i="39"/>
  <c r="BB8" i="39"/>
  <c r="AX8" i="39" s="1"/>
  <c r="Z8" i="39"/>
  <c r="BB7" i="39"/>
  <c r="AX7" i="39"/>
  <c r="Z7" i="39"/>
  <c r="Z25" i="38"/>
  <c r="Y25" i="38"/>
  <c r="AY24" i="38"/>
  <c r="AW24" i="38"/>
  <c r="AU24" i="38"/>
  <c r="AY23" i="38"/>
  <c r="AW23" i="38"/>
  <c r="AU23" i="38"/>
  <c r="AL22" i="38"/>
  <c r="AO22" i="38" s="1"/>
  <c r="AI22" i="38"/>
  <c r="AG22" i="38"/>
  <c r="X22" i="38"/>
  <c r="X21" i="38"/>
  <c r="AZ20" i="38"/>
  <c r="AY20" i="38"/>
  <c r="AX20" i="38"/>
  <c r="AW20" i="38"/>
  <c r="AU20" i="38"/>
  <c r="X20" i="38"/>
  <c r="AZ19" i="38"/>
  <c r="AY19" i="38"/>
  <c r="AX19" i="38"/>
  <c r="AW19" i="38"/>
  <c r="AU19" i="38"/>
  <c r="X19" i="38"/>
  <c r="AZ18" i="38"/>
  <c r="AY18" i="38"/>
  <c r="AX18" i="38"/>
  <c r="AW18" i="38"/>
  <c r="AU18" i="38"/>
  <c r="X18" i="38"/>
  <c r="BB15" i="38"/>
  <c r="AX15" i="38" s="1"/>
  <c r="Z15" i="38"/>
  <c r="BB14" i="38"/>
  <c r="AX14" i="38" s="1"/>
  <c r="Z14" i="38"/>
  <c r="BB13" i="38"/>
  <c r="Z13" i="38"/>
  <c r="AQ24" i="38" s="1"/>
  <c r="BB12" i="38"/>
  <c r="AX12" i="38" s="1"/>
  <c r="Z12" i="38"/>
  <c r="BB11" i="38"/>
  <c r="AX11" i="38" s="1"/>
  <c r="Z11" i="38"/>
  <c r="BB10" i="38"/>
  <c r="Z10" i="38"/>
  <c r="AN24" i="38" s="1"/>
  <c r="BB9" i="38"/>
  <c r="AX9" i="38" s="1"/>
  <c r="Z9" i="38"/>
  <c r="BB8" i="38"/>
  <c r="AX8" i="38" s="1"/>
  <c r="Z8" i="38"/>
  <c r="BB7" i="38"/>
  <c r="AX7" i="38" s="1"/>
  <c r="Z7" i="38"/>
  <c r="AJ24" i="38" s="1"/>
  <c r="AC25" i="37"/>
  <c r="Y25" i="37"/>
  <c r="AY24" i="37"/>
  <c r="AW24" i="37"/>
  <c r="AU24" i="37"/>
  <c r="AY23" i="37"/>
  <c r="AW23" i="37"/>
  <c r="AU23" i="37"/>
  <c r="AL22" i="37"/>
  <c r="AI22" i="37"/>
  <c r="AG22" i="37"/>
  <c r="X22" i="37"/>
  <c r="X21" i="37"/>
  <c r="AZ20" i="37"/>
  <c r="AY20" i="37"/>
  <c r="AX20" i="37"/>
  <c r="AW20" i="37"/>
  <c r="AU20" i="37"/>
  <c r="X20" i="37"/>
  <c r="AZ19" i="37"/>
  <c r="AY19" i="37"/>
  <c r="AX19" i="37"/>
  <c r="AW19" i="37"/>
  <c r="AU19" i="37"/>
  <c r="X19" i="37"/>
  <c r="AZ18" i="37"/>
  <c r="AY18" i="37"/>
  <c r="AX18" i="37"/>
  <c r="AW18" i="37"/>
  <c r="AU18" i="37"/>
  <c r="X18" i="37"/>
  <c r="BB15" i="37"/>
  <c r="AX15" i="37" s="1"/>
  <c r="Z15" i="37"/>
  <c r="BB14" i="37"/>
  <c r="AX14" i="37" s="1"/>
  <c r="Z14" i="37"/>
  <c r="BB13" i="37"/>
  <c r="Z13" i="37"/>
  <c r="AQ24" i="37" s="1"/>
  <c r="BB12" i="37"/>
  <c r="AX12" i="37" s="1"/>
  <c r="Z12" i="37"/>
  <c r="BB11" i="37"/>
  <c r="AX11" i="37" s="1"/>
  <c r="Z11" i="37"/>
  <c r="BB10" i="37"/>
  <c r="Z10" i="37"/>
  <c r="AN24" i="37" s="1"/>
  <c r="BB9" i="37"/>
  <c r="AX9" i="37" s="1"/>
  <c r="Z9" i="37"/>
  <c r="BB8" i="37"/>
  <c r="AX8" i="37" s="1"/>
  <c r="Z8" i="37"/>
  <c r="BB7" i="37"/>
  <c r="AX7" i="37" s="1"/>
  <c r="Z7" i="37"/>
  <c r="AJ24" i="37" s="1"/>
  <c r="AQ24" i="39" l="1"/>
  <c r="AJ24" i="39"/>
  <c r="X23" i="38"/>
  <c r="X23" i="37"/>
  <c r="AO20" i="41"/>
  <c r="AL20" i="37"/>
  <c r="AO22" i="39"/>
  <c r="AG20" i="39"/>
  <c r="BA18" i="39"/>
  <c r="AO22" i="37"/>
  <c r="AG18" i="37"/>
  <c r="BA18" i="37"/>
  <c r="BA20" i="37"/>
  <c r="AX13" i="37"/>
  <c r="AL18" i="37" s="1"/>
  <c r="AI20" i="39"/>
  <c r="AE25" i="39"/>
  <c r="AI20" i="38"/>
  <c r="BA19" i="38"/>
  <c r="AQ25" i="37"/>
  <c r="BA24" i="39"/>
  <c r="AL20" i="39"/>
  <c r="AQ25" i="39"/>
  <c r="BA20" i="39"/>
  <c r="BA23" i="39"/>
  <c r="X23" i="39"/>
  <c r="BA23" i="38"/>
  <c r="AL20" i="38"/>
  <c r="AQ25" i="38"/>
  <c r="BA20" i="38"/>
  <c r="AX13" i="38"/>
  <c r="BA24" i="38"/>
  <c r="AE25" i="38"/>
  <c r="BA24" i="37"/>
  <c r="AI20" i="37"/>
  <c r="BA19" i="37"/>
  <c r="BA23" i="37"/>
  <c r="AX10" i="37"/>
  <c r="AI18" i="37" s="1"/>
  <c r="AE25" i="37"/>
  <c r="AO20" i="40"/>
  <c r="BA19" i="39"/>
  <c r="AO18" i="41"/>
  <c r="AO18" i="40"/>
  <c r="AG18" i="38"/>
  <c r="AG20" i="38"/>
  <c r="BA18" i="38"/>
  <c r="AL18" i="39"/>
  <c r="AG18" i="39"/>
  <c r="AX10" i="39"/>
  <c r="AI18" i="39" s="1"/>
  <c r="AJ25" i="39"/>
  <c r="AN25" i="39"/>
  <c r="AL18" i="38"/>
  <c r="AX10" i="38"/>
  <c r="AI18" i="38" s="1"/>
  <c r="AJ25" i="38"/>
  <c r="AN25" i="38"/>
  <c r="AG20" i="37"/>
  <c r="AJ25" i="37"/>
  <c r="AN25" i="37"/>
  <c r="AC25" i="36"/>
  <c r="Z25" i="36"/>
  <c r="Y25" i="36"/>
  <c r="AY24" i="36"/>
  <c r="AW24" i="36"/>
  <c r="AU24" i="36"/>
  <c r="AY23" i="36"/>
  <c r="AW23" i="36"/>
  <c r="AU23" i="36"/>
  <c r="AL22" i="36"/>
  <c r="AI22" i="36"/>
  <c r="AO22" i="36" s="1"/>
  <c r="AG22" i="36"/>
  <c r="X22" i="36"/>
  <c r="X21" i="36"/>
  <c r="AZ20" i="36"/>
  <c r="AY20" i="36"/>
  <c r="AX20" i="36"/>
  <c r="AW20" i="36"/>
  <c r="AU20" i="36"/>
  <c r="X20" i="36"/>
  <c r="AZ19" i="36"/>
  <c r="AY19" i="36"/>
  <c r="AX19" i="36"/>
  <c r="AW19" i="36"/>
  <c r="AU19" i="36"/>
  <c r="X19" i="36"/>
  <c r="AZ18" i="36"/>
  <c r="AY18" i="36"/>
  <c r="AX18" i="36"/>
  <c r="AW18" i="36"/>
  <c r="AU18" i="36"/>
  <c r="X18" i="36"/>
  <c r="BB15" i="36"/>
  <c r="AX15" i="36" s="1"/>
  <c r="Z15" i="36"/>
  <c r="BB14" i="36"/>
  <c r="AX14" i="36" s="1"/>
  <c r="Z14" i="36"/>
  <c r="AQ24" i="36" s="1"/>
  <c r="BB13" i="36"/>
  <c r="BB12" i="36"/>
  <c r="AX12" i="36" s="1"/>
  <c r="Z12" i="36"/>
  <c r="BB11" i="36"/>
  <c r="AX11" i="36" s="1"/>
  <c r="Z11" i="36"/>
  <c r="BB10" i="36"/>
  <c r="Z10" i="36"/>
  <c r="BB9" i="36"/>
  <c r="AX9" i="36" s="1"/>
  <c r="Z9" i="36"/>
  <c r="BB8" i="36"/>
  <c r="AX8" i="36" s="1"/>
  <c r="Z8" i="36"/>
  <c r="BB7" i="36"/>
  <c r="AX7" i="36" s="1"/>
  <c r="Z7" i="36"/>
  <c r="Z25" i="35"/>
  <c r="AY24" i="35"/>
  <c r="AW24" i="35"/>
  <c r="AU24" i="35"/>
  <c r="AY23" i="35"/>
  <c r="AW23" i="35"/>
  <c r="AU23" i="35"/>
  <c r="AL22" i="35"/>
  <c r="AI22" i="35"/>
  <c r="AG22" i="35"/>
  <c r="X22" i="35"/>
  <c r="X21" i="35"/>
  <c r="AZ20" i="35"/>
  <c r="AY20" i="35"/>
  <c r="AX20" i="35"/>
  <c r="AW20" i="35"/>
  <c r="AU20" i="35"/>
  <c r="X20" i="35"/>
  <c r="AZ19" i="35"/>
  <c r="AY19" i="35"/>
  <c r="AX19" i="35"/>
  <c r="AW19" i="35"/>
  <c r="AU19" i="35"/>
  <c r="X19" i="35"/>
  <c r="AZ18" i="35"/>
  <c r="AY18" i="35"/>
  <c r="AX18" i="35"/>
  <c r="AW18" i="35"/>
  <c r="AU18" i="35"/>
  <c r="X18" i="35"/>
  <c r="BB15" i="35"/>
  <c r="AX15" i="35" s="1"/>
  <c r="Z15" i="35"/>
  <c r="BB14" i="35"/>
  <c r="AX14" i="35" s="1"/>
  <c r="Z14" i="35"/>
  <c r="BB13" i="35"/>
  <c r="AX13" i="35" s="1"/>
  <c r="Z13" i="35"/>
  <c r="BB12" i="35"/>
  <c r="AX12" i="35" s="1"/>
  <c r="Z12" i="35"/>
  <c r="BB11" i="35"/>
  <c r="AX11" i="35" s="1"/>
  <c r="Z11" i="35"/>
  <c r="BB10" i="35"/>
  <c r="Z10" i="35"/>
  <c r="BB9" i="35"/>
  <c r="AX9" i="35" s="1"/>
  <c r="Z9" i="35"/>
  <c r="BB8" i="35"/>
  <c r="AX8" i="35" s="1"/>
  <c r="Z8" i="35"/>
  <c r="BB7" i="35"/>
  <c r="Z7" i="35"/>
  <c r="AN24" i="36" l="1"/>
  <c r="AJ24" i="35"/>
  <c r="AQ24" i="35"/>
  <c r="AJ24" i="36"/>
  <c r="AN24" i="35"/>
  <c r="X23" i="35"/>
  <c r="AO22" i="35"/>
  <c r="X23" i="36"/>
  <c r="AO20" i="39"/>
  <c r="AO18" i="37"/>
  <c r="AG18" i="36"/>
  <c r="AG20" i="36"/>
  <c r="BA18" i="36"/>
  <c r="AI20" i="35"/>
  <c r="AQ25" i="36"/>
  <c r="AO20" i="38"/>
  <c r="AO20" i="37"/>
  <c r="AL20" i="36"/>
  <c r="BA20" i="36"/>
  <c r="AI20" i="36"/>
  <c r="BA19" i="36"/>
  <c r="BA23" i="36"/>
  <c r="BA24" i="36"/>
  <c r="AE25" i="36"/>
  <c r="AL18" i="35"/>
  <c r="BA24" i="35"/>
  <c r="BA20" i="35"/>
  <c r="AN25" i="35"/>
  <c r="AO18" i="39"/>
  <c r="AO18" i="38"/>
  <c r="BA19" i="35"/>
  <c r="AX10" i="35"/>
  <c r="AI18" i="35" s="1"/>
  <c r="AE25" i="35"/>
  <c r="AG20" i="35"/>
  <c r="BA18" i="35"/>
  <c r="BA23" i="35"/>
  <c r="AX10" i="36"/>
  <c r="AI18" i="36" s="1"/>
  <c r="AJ25" i="36"/>
  <c r="AX13" i="36"/>
  <c r="AL18" i="36" s="1"/>
  <c r="AN25" i="36"/>
  <c r="AQ25" i="35"/>
  <c r="AX7" i="35"/>
  <c r="AG18" i="35" s="1"/>
  <c r="AJ25" i="35"/>
  <c r="AL20" i="35"/>
  <c r="AO20" i="36" l="1"/>
  <c r="AO18" i="36"/>
  <c r="AO20" i="35"/>
  <c r="AO18" i="35"/>
  <c r="AC25" i="34"/>
  <c r="Z25" i="34"/>
  <c r="AY24" i="34"/>
  <c r="AW24" i="34"/>
  <c r="AU24" i="34"/>
  <c r="AY23" i="34"/>
  <c r="AW23" i="34"/>
  <c r="AU23" i="34"/>
  <c r="AL22" i="34"/>
  <c r="AI22" i="34"/>
  <c r="AG22" i="34"/>
  <c r="X22" i="34"/>
  <c r="X21" i="34"/>
  <c r="AZ20" i="34"/>
  <c r="AY20" i="34"/>
  <c r="AX20" i="34"/>
  <c r="AW20" i="34"/>
  <c r="AU20" i="34"/>
  <c r="X20" i="34"/>
  <c r="AZ19" i="34"/>
  <c r="AY19" i="34"/>
  <c r="AX19" i="34"/>
  <c r="AW19" i="34"/>
  <c r="AU19" i="34"/>
  <c r="X19" i="34"/>
  <c r="AZ18" i="34"/>
  <c r="AY18" i="34"/>
  <c r="AX18" i="34"/>
  <c r="AW18" i="34"/>
  <c r="AU18" i="34"/>
  <c r="X18" i="34"/>
  <c r="BB15" i="34"/>
  <c r="AX15" i="34" s="1"/>
  <c r="Z15" i="34"/>
  <c r="BB14" i="34"/>
  <c r="AX14" i="34" s="1"/>
  <c r="Z14" i="34"/>
  <c r="BB13" i="34"/>
  <c r="Z13" i="34"/>
  <c r="BB12" i="34"/>
  <c r="AX12" i="34" s="1"/>
  <c r="Z12" i="34"/>
  <c r="BB11" i="34"/>
  <c r="AX11" i="34" s="1"/>
  <c r="Z11" i="34"/>
  <c r="BB10" i="34"/>
  <c r="Z10" i="34"/>
  <c r="AN24" i="34" s="1"/>
  <c r="BB9" i="34"/>
  <c r="AX9" i="34" s="1"/>
  <c r="Z9" i="34"/>
  <c r="BB8" i="34"/>
  <c r="AX8" i="34" s="1"/>
  <c r="Z8" i="34"/>
  <c r="BB7" i="34"/>
  <c r="Z7" i="34"/>
  <c r="AC25" i="33"/>
  <c r="Y25" i="33"/>
  <c r="AY24" i="33"/>
  <c r="AW24" i="33"/>
  <c r="AU24" i="33"/>
  <c r="AY23" i="33"/>
  <c r="AW23" i="33"/>
  <c r="AU23" i="33"/>
  <c r="AL22" i="33"/>
  <c r="AI22" i="33"/>
  <c r="AG22" i="33"/>
  <c r="X22" i="33"/>
  <c r="X21" i="33"/>
  <c r="AZ20" i="33"/>
  <c r="AY20" i="33"/>
  <c r="AX20" i="33"/>
  <c r="AW20" i="33"/>
  <c r="AU20" i="33"/>
  <c r="X20" i="33"/>
  <c r="AZ19" i="33"/>
  <c r="AY19" i="33"/>
  <c r="AX19" i="33"/>
  <c r="AW19" i="33"/>
  <c r="AU19" i="33"/>
  <c r="X19" i="33"/>
  <c r="AZ18" i="33"/>
  <c r="AY18" i="33"/>
  <c r="AX18" i="33"/>
  <c r="AW18" i="33"/>
  <c r="AU18" i="33"/>
  <c r="X18" i="33"/>
  <c r="BB15" i="33"/>
  <c r="AX15" i="33" s="1"/>
  <c r="Z15" i="33"/>
  <c r="BB14" i="33"/>
  <c r="AX14" i="33" s="1"/>
  <c r="Z14" i="33"/>
  <c r="BB13" i="33"/>
  <c r="AX13" i="33" s="1"/>
  <c r="Z13" i="33"/>
  <c r="AQ24" i="33" s="1"/>
  <c r="BB12" i="33"/>
  <c r="AX12" i="33" s="1"/>
  <c r="Z12" i="33"/>
  <c r="BB11" i="33"/>
  <c r="AX11" i="33" s="1"/>
  <c r="Z11" i="33"/>
  <c r="BB10" i="33"/>
  <c r="Z10" i="33"/>
  <c r="BB9" i="33"/>
  <c r="AX9" i="33" s="1"/>
  <c r="Z9" i="33"/>
  <c r="BB8" i="33"/>
  <c r="AX8" i="33" s="1"/>
  <c r="Z8" i="33"/>
  <c r="BB7" i="33"/>
  <c r="Z7" i="33"/>
  <c r="Z14" i="31"/>
  <c r="Z13" i="31"/>
  <c r="AQ24" i="31" s="1"/>
  <c r="Z25" i="32"/>
  <c r="AY24" i="32"/>
  <c r="AW24" i="32"/>
  <c r="AU24" i="32"/>
  <c r="AY23" i="32"/>
  <c r="AW23" i="32"/>
  <c r="AL22" i="32"/>
  <c r="AI22" i="32"/>
  <c r="AG22" i="32"/>
  <c r="X22" i="32"/>
  <c r="X21" i="32"/>
  <c r="AZ20" i="32"/>
  <c r="AY20" i="32"/>
  <c r="AX20" i="32"/>
  <c r="AW20" i="32"/>
  <c r="AU20" i="32"/>
  <c r="X20" i="32"/>
  <c r="AZ19" i="32"/>
  <c r="AY19" i="32"/>
  <c r="AX19" i="32"/>
  <c r="AW19" i="32"/>
  <c r="AU19" i="32"/>
  <c r="X19" i="32"/>
  <c r="AZ18" i="32"/>
  <c r="AY18" i="32"/>
  <c r="AX18" i="32"/>
  <c r="AW18" i="32"/>
  <c r="AU18" i="32"/>
  <c r="X18" i="32"/>
  <c r="BB15" i="32"/>
  <c r="AX15" i="32" s="1"/>
  <c r="Z15" i="32"/>
  <c r="BB14" i="32"/>
  <c r="AX14" i="32" s="1"/>
  <c r="Z14" i="32"/>
  <c r="BB13" i="32"/>
  <c r="AX13" i="32" s="1"/>
  <c r="Z13" i="32"/>
  <c r="AQ24" i="32" s="1"/>
  <c r="BB12" i="32"/>
  <c r="AX12" i="32" s="1"/>
  <c r="Z12" i="32"/>
  <c r="BB11" i="32"/>
  <c r="AX11" i="32" s="1"/>
  <c r="Z11" i="32"/>
  <c r="BB10" i="32"/>
  <c r="Z10" i="32"/>
  <c r="BB9" i="32"/>
  <c r="AX9" i="32" s="1"/>
  <c r="BB8" i="32"/>
  <c r="AX8" i="32" s="1"/>
  <c r="Z8" i="32"/>
  <c r="BB7" i="32"/>
  <c r="AX7" i="32" s="1"/>
  <c r="Z7" i="32"/>
  <c r="AJ24" i="34" l="1"/>
  <c r="AN24" i="33"/>
  <c r="AJ24" i="32"/>
  <c r="AN24" i="32"/>
  <c r="AQ24" i="34"/>
  <c r="AJ24" i="33"/>
  <c r="AO22" i="34"/>
  <c r="AO22" i="33"/>
  <c r="X23" i="33"/>
  <c r="AG20" i="33"/>
  <c r="AO22" i="32"/>
  <c r="AX7" i="33"/>
  <c r="AG18" i="33" s="1"/>
  <c r="BA18" i="33"/>
  <c r="X23" i="34"/>
  <c r="AG20" i="34"/>
  <c r="BA18" i="34"/>
  <c r="AX7" i="34"/>
  <c r="AG18" i="34" s="1"/>
  <c r="BA24" i="33"/>
  <c r="AL20" i="33"/>
  <c r="AQ25" i="33"/>
  <c r="BA20" i="33"/>
  <c r="AE25" i="33"/>
  <c r="AI20" i="33"/>
  <c r="BA23" i="33"/>
  <c r="BA19" i="33"/>
  <c r="AL20" i="32"/>
  <c r="AQ25" i="32"/>
  <c r="BA20" i="32"/>
  <c r="AL18" i="32"/>
  <c r="AI20" i="34"/>
  <c r="BA19" i="34"/>
  <c r="AE25" i="34"/>
  <c r="BA24" i="34"/>
  <c r="AQ25" i="34"/>
  <c r="AL20" i="34"/>
  <c r="BA20" i="34"/>
  <c r="BA23" i="34"/>
  <c r="AX13" i="34"/>
  <c r="AL18" i="34" s="1"/>
  <c r="AI20" i="32"/>
  <c r="BA19" i="32"/>
  <c r="BA24" i="32"/>
  <c r="AE25" i="32"/>
  <c r="X23" i="32"/>
  <c r="AG20" i="32"/>
  <c r="BA18" i="32"/>
  <c r="BA23" i="32"/>
  <c r="AX10" i="34"/>
  <c r="AI18" i="34" s="1"/>
  <c r="AJ25" i="34"/>
  <c r="AN25" i="34"/>
  <c r="AL18" i="33"/>
  <c r="AX10" i="33"/>
  <c r="AI18" i="33" s="1"/>
  <c r="AJ25" i="33"/>
  <c r="AN25" i="33"/>
  <c r="AG18" i="32"/>
  <c r="AX10" i="32"/>
  <c r="AI18" i="32" s="1"/>
  <c r="AJ25" i="32"/>
  <c r="AN25" i="32"/>
  <c r="AO20" i="33" l="1"/>
  <c r="AO20" i="34"/>
  <c r="AO18" i="34"/>
  <c r="AO20" i="32"/>
  <c r="AO18" i="32"/>
  <c r="AO18" i="33"/>
  <c r="AC25" i="31"/>
  <c r="AY24" i="31"/>
  <c r="AW24" i="31"/>
  <c r="AU24" i="31"/>
  <c r="AY23" i="31"/>
  <c r="AW23" i="31"/>
  <c r="AU23" i="31"/>
  <c r="AL22" i="31"/>
  <c r="AI22" i="31"/>
  <c r="AG22" i="31"/>
  <c r="X22" i="31"/>
  <c r="X21" i="31"/>
  <c r="AZ20" i="31"/>
  <c r="AY20" i="31"/>
  <c r="AX20" i="31"/>
  <c r="AW20" i="31"/>
  <c r="AU20" i="31"/>
  <c r="X20" i="31"/>
  <c r="AZ19" i="31"/>
  <c r="AY19" i="31"/>
  <c r="AX19" i="31"/>
  <c r="AW19" i="31"/>
  <c r="AU19" i="31"/>
  <c r="X19" i="31"/>
  <c r="AZ18" i="31"/>
  <c r="AY18" i="31"/>
  <c r="AX18" i="31"/>
  <c r="AW18" i="31"/>
  <c r="AU18" i="31"/>
  <c r="X18" i="31"/>
  <c r="BB15" i="31"/>
  <c r="AX15" i="31" s="1"/>
  <c r="Z15" i="31"/>
  <c r="BB14" i="31"/>
  <c r="AX14" i="31" s="1"/>
  <c r="BB13" i="31"/>
  <c r="BB12" i="31"/>
  <c r="AX12" i="31" s="1"/>
  <c r="Z12" i="31"/>
  <c r="BB11" i="31"/>
  <c r="AX11" i="31" s="1"/>
  <c r="Z11" i="31"/>
  <c r="BB10" i="31"/>
  <c r="AX10" i="31" s="1"/>
  <c r="Z10" i="31"/>
  <c r="BB9" i="31"/>
  <c r="AX9" i="31" s="1"/>
  <c r="Z9" i="31"/>
  <c r="BB8" i="31"/>
  <c r="AX8" i="31" s="1"/>
  <c r="Z8" i="31"/>
  <c r="BB7" i="31"/>
  <c r="Z7" i="31"/>
  <c r="AJ24" i="31" s="1"/>
  <c r="Y25" i="30"/>
  <c r="AY24" i="30"/>
  <c r="AW24" i="30"/>
  <c r="AU24" i="30"/>
  <c r="AY23" i="30"/>
  <c r="AW23" i="30"/>
  <c r="AU23" i="30"/>
  <c r="AL22" i="30"/>
  <c r="AI22" i="30"/>
  <c r="AG22" i="30"/>
  <c r="X22" i="30"/>
  <c r="X21" i="30"/>
  <c r="AZ20" i="30"/>
  <c r="AY20" i="30"/>
  <c r="AX20" i="30"/>
  <c r="AW20" i="30"/>
  <c r="AU20" i="30"/>
  <c r="X20" i="30"/>
  <c r="AZ19" i="30"/>
  <c r="AY19" i="30"/>
  <c r="AX19" i="30"/>
  <c r="AW19" i="30"/>
  <c r="AU19" i="30"/>
  <c r="X19" i="30"/>
  <c r="AZ18" i="30"/>
  <c r="AY18" i="30"/>
  <c r="AX18" i="30"/>
  <c r="AW18" i="30"/>
  <c r="AU18" i="30"/>
  <c r="X18" i="30"/>
  <c r="BB15" i="30"/>
  <c r="AX15" i="30" s="1"/>
  <c r="Z15" i="30"/>
  <c r="BB14" i="30"/>
  <c r="AX14" i="30" s="1"/>
  <c r="Z14" i="30"/>
  <c r="BB13" i="30"/>
  <c r="AX13" i="30" s="1"/>
  <c r="Z13" i="30"/>
  <c r="BB12" i="30"/>
  <c r="AX12" i="30" s="1"/>
  <c r="Z12" i="30"/>
  <c r="BB11" i="30"/>
  <c r="AX11" i="30" s="1"/>
  <c r="Z11" i="30"/>
  <c r="BB10" i="30"/>
  <c r="AX10" i="30" s="1"/>
  <c r="Z10" i="30"/>
  <c r="AN24" i="30" s="1"/>
  <c r="BB9" i="30"/>
  <c r="AX9" i="30" s="1"/>
  <c r="Z9" i="30"/>
  <c r="BB8" i="30"/>
  <c r="AX8" i="30" s="1"/>
  <c r="Z8" i="30"/>
  <c r="BB7" i="30"/>
  <c r="AX7" i="30" s="1"/>
  <c r="Z7" i="30"/>
  <c r="Z25" i="29"/>
  <c r="AY24" i="29"/>
  <c r="AW24" i="29"/>
  <c r="AU24" i="29"/>
  <c r="AY23" i="29"/>
  <c r="AW23" i="29"/>
  <c r="AU23" i="29"/>
  <c r="AL22" i="29"/>
  <c r="AI22" i="29"/>
  <c r="AG22" i="29"/>
  <c r="X22" i="29"/>
  <c r="X21" i="29"/>
  <c r="AZ20" i="29"/>
  <c r="AY20" i="29"/>
  <c r="AX20" i="29"/>
  <c r="AW20" i="29"/>
  <c r="AU20" i="29"/>
  <c r="X20" i="29"/>
  <c r="AZ19" i="29"/>
  <c r="AY19" i="29"/>
  <c r="AX19" i="29"/>
  <c r="AW19" i="29"/>
  <c r="AU19" i="29"/>
  <c r="X19" i="29"/>
  <c r="AZ18" i="29"/>
  <c r="AY18" i="29"/>
  <c r="AX18" i="29"/>
  <c r="AW18" i="29"/>
  <c r="AU18" i="29"/>
  <c r="X18" i="29"/>
  <c r="BB15" i="29"/>
  <c r="AX15" i="29" s="1"/>
  <c r="Z15" i="29"/>
  <c r="BB14" i="29"/>
  <c r="AX14" i="29" s="1"/>
  <c r="Z14" i="29"/>
  <c r="BB13" i="29"/>
  <c r="Z13" i="29"/>
  <c r="BB12" i="29"/>
  <c r="AX12" i="29" s="1"/>
  <c r="Z12" i="29"/>
  <c r="BB11" i="29"/>
  <c r="AX11" i="29" s="1"/>
  <c r="Z11" i="29"/>
  <c r="BB10" i="29"/>
  <c r="Z10" i="29"/>
  <c r="AN24" i="29" s="1"/>
  <c r="BB9" i="29"/>
  <c r="AX9" i="29" s="1"/>
  <c r="Z9" i="29"/>
  <c r="BB8" i="29"/>
  <c r="AX8" i="29" s="1"/>
  <c r="Z8" i="29"/>
  <c r="BB7" i="29"/>
  <c r="Z7" i="29"/>
  <c r="AJ24" i="29" s="1"/>
  <c r="AN24" i="31" l="1"/>
  <c r="AJ24" i="30"/>
  <c r="AQ24" i="29"/>
  <c r="BA18" i="30"/>
  <c r="AG20" i="30"/>
  <c r="AG18" i="30"/>
  <c r="AJ25" i="30"/>
  <c r="AQ24" i="30"/>
  <c r="X23" i="30"/>
  <c r="AO22" i="29"/>
  <c r="AO22" i="31"/>
  <c r="X23" i="31"/>
  <c r="AO22" i="30"/>
  <c r="AL20" i="29"/>
  <c r="AI18" i="30"/>
  <c r="AI20" i="30"/>
  <c r="AN25" i="30"/>
  <c r="BA19" i="30"/>
  <c r="BA24" i="30"/>
  <c r="BA23" i="30"/>
  <c r="AE25" i="30"/>
  <c r="AQ25" i="29"/>
  <c r="X23" i="29"/>
  <c r="BA20" i="29"/>
  <c r="AX13" i="29"/>
  <c r="AL18" i="29" s="1"/>
  <c r="AI20" i="31"/>
  <c r="BA19" i="31"/>
  <c r="AG20" i="31"/>
  <c r="AE25" i="31"/>
  <c r="BA18" i="31"/>
  <c r="BA24" i="31"/>
  <c r="AX7" i="31"/>
  <c r="AG18" i="31" s="1"/>
  <c r="AQ25" i="31"/>
  <c r="BA24" i="29"/>
  <c r="BA23" i="29"/>
  <c r="BA23" i="31"/>
  <c r="AL20" i="31"/>
  <c r="BA20" i="31"/>
  <c r="AL18" i="30"/>
  <c r="AQ25" i="30"/>
  <c r="BA20" i="30"/>
  <c r="AL20" i="30"/>
  <c r="AI20" i="29"/>
  <c r="BA19" i="29"/>
  <c r="AE25" i="29"/>
  <c r="AG20" i="29"/>
  <c r="BA18" i="29"/>
  <c r="AX7" i="29"/>
  <c r="AG18" i="29" s="1"/>
  <c r="AI18" i="31"/>
  <c r="AJ25" i="31"/>
  <c r="AX13" i="31"/>
  <c r="AL18" i="31" s="1"/>
  <c r="AN25" i="31"/>
  <c r="AX10" i="29"/>
  <c r="AI18" i="29" s="1"/>
  <c r="AJ25" i="29"/>
  <c r="AN25" i="29"/>
  <c r="AC25" i="28"/>
  <c r="Z25" i="28"/>
  <c r="Y25" i="28"/>
  <c r="AY24" i="28"/>
  <c r="AW24" i="28"/>
  <c r="AU24" i="28"/>
  <c r="AY23" i="28"/>
  <c r="AW23" i="28"/>
  <c r="AU23" i="28"/>
  <c r="AL22" i="28"/>
  <c r="AI22" i="28"/>
  <c r="AG22" i="28"/>
  <c r="X22" i="28"/>
  <c r="X21" i="28"/>
  <c r="AZ20" i="28"/>
  <c r="AY20" i="28"/>
  <c r="AX20" i="28"/>
  <c r="AW20" i="28"/>
  <c r="AU20" i="28"/>
  <c r="X20" i="28"/>
  <c r="AZ19" i="28"/>
  <c r="AY19" i="28"/>
  <c r="AX19" i="28"/>
  <c r="AW19" i="28"/>
  <c r="AU19" i="28"/>
  <c r="X19" i="28"/>
  <c r="AZ18" i="28"/>
  <c r="AY18" i="28"/>
  <c r="AX18" i="28"/>
  <c r="AW18" i="28"/>
  <c r="AU18" i="28"/>
  <c r="X18" i="28"/>
  <c r="BB15" i="28"/>
  <c r="AX15" i="28" s="1"/>
  <c r="Z15" i="28"/>
  <c r="BB14" i="28"/>
  <c r="AX14" i="28" s="1"/>
  <c r="BB13" i="28"/>
  <c r="AX13" i="28" s="1"/>
  <c r="Z13" i="28"/>
  <c r="AQ24" i="28" s="1"/>
  <c r="BB12" i="28"/>
  <c r="AX12" i="28" s="1"/>
  <c r="Z12" i="28"/>
  <c r="BB11" i="28"/>
  <c r="AX11" i="28" s="1"/>
  <c r="Z11" i="28"/>
  <c r="BB10" i="28"/>
  <c r="Z10" i="28"/>
  <c r="AN24" i="28" s="1"/>
  <c r="BB9" i="28"/>
  <c r="AX9" i="28" s="1"/>
  <c r="Z9" i="28"/>
  <c r="BB8" i="28"/>
  <c r="AX8" i="28" s="1"/>
  <c r="Z8" i="28"/>
  <c r="BB7" i="28"/>
  <c r="Z7" i="28"/>
  <c r="AJ24" i="28" s="1"/>
  <c r="Y25" i="27"/>
  <c r="AY24" i="27"/>
  <c r="AW24" i="27"/>
  <c r="AU24" i="27"/>
  <c r="AY23" i="27"/>
  <c r="AW23" i="27"/>
  <c r="AU23" i="27"/>
  <c r="AL22" i="27"/>
  <c r="AI22" i="27"/>
  <c r="AG22" i="27"/>
  <c r="X22" i="27"/>
  <c r="X21" i="27"/>
  <c r="AZ20" i="27"/>
  <c r="AY20" i="27"/>
  <c r="AX20" i="27"/>
  <c r="AW20" i="27"/>
  <c r="AU20" i="27"/>
  <c r="X20" i="27"/>
  <c r="AZ19" i="27"/>
  <c r="AY19" i="27"/>
  <c r="AX19" i="27"/>
  <c r="AW19" i="27"/>
  <c r="AU19" i="27"/>
  <c r="X19" i="27"/>
  <c r="AZ18" i="27"/>
  <c r="AY18" i="27"/>
  <c r="AX18" i="27"/>
  <c r="AW18" i="27"/>
  <c r="AU18" i="27"/>
  <c r="X18" i="27"/>
  <c r="BB15" i="27"/>
  <c r="AX15" i="27" s="1"/>
  <c r="Z15" i="27"/>
  <c r="BB14" i="27"/>
  <c r="AX14" i="27" s="1"/>
  <c r="Z14" i="27"/>
  <c r="BB13" i="27"/>
  <c r="AX13" i="27" s="1"/>
  <c r="Z13" i="27"/>
  <c r="AQ24" i="27" s="1"/>
  <c r="BB12" i="27"/>
  <c r="AX12" i="27" s="1"/>
  <c r="Z12" i="27"/>
  <c r="BB11" i="27"/>
  <c r="AX11" i="27" s="1"/>
  <c r="Z11" i="27"/>
  <c r="BB10" i="27"/>
  <c r="Z10" i="27"/>
  <c r="BB9" i="27"/>
  <c r="AX9" i="27" s="1"/>
  <c r="Z9" i="27"/>
  <c r="BB8" i="27"/>
  <c r="AX8" i="27" s="1"/>
  <c r="Z8" i="27"/>
  <c r="BB7" i="27"/>
  <c r="AX7" i="27" s="1"/>
  <c r="Z7" i="27"/>
  <c r="AJ24" i="27" l="1"/>
  <c r="AO22" i="28"/>
  <c r="AN24" i="27"/>
  <c r="AO22" i="27"/>
  <c r="AQ25" i="27"/>
  <c r="AO20" i="30"/>
  <c r="AO18" i="30"/>
  <c r="X23" i="28"/>
  <c r="AG20" i="28"/>
  <c r="BA18" i="28"/>
  <c r="AX7" i="28"/>
  <c r="AG18" i="28" s="1"/>
  <c r="AO20" i="31"/>
  <c r="AO20" i="29"/>
  <c r="X23" i="27"/>
  <c r="AI20" i="27"/>
  <c r="BA19" i="27"/>
  <c r="AO18" i="31"/>
  <c r="AO18" i="29"/>
  <c r="AL20" i="28"/>
  <c r="AQ25" i="28"/>
  <c r="BA20" i="28"/>
  <c r="BA24" i="28"/>
  <c r="AE25" i="28"/>
  <c r="AI20" i="28"/>
  <c r="BA19" i="28"/>
  <c r="BA23" i="28"/>
  <c r="AG20" i="27"/>
  <c r="BA18" i="27"/>
  <c r="AG18" i="27"/>
  <c r="BA24" i="27"/>
  <c r="AL20" i="27"/>
  <c r="BA20" i="27"/>
  <c r="BA23" i="27"/>
  <c r="AE25" i="27"/>
  <c r="AL18" i="28"/>
  <c r="AX10" i="28"/>
  <c r="AI18" i="28" s="1"/>
  <c r="AJ25" i="28"/>
  <c r="AN25" i="28"/>
  <c r="AL18" i="27"/>
  <c r="AX10" i="27"/>
  <c r="AI18" i="27" s="1"/>
  <c r="AJ25" i="27"/>
  <c r="AN25" i="27"/>
  <c r="AO20" i="27" l="1"/>
  <c r="AO20" i="28"/>
  <c r="AO18" i="28"/>
  <c r="AO18" i="27"/>
  <c r="Z25" i="26"/>
  <c r="AY24" i="26"/>
  <c r="AW24" i="26"/>
  <c r="AU24" i="26"/>
  <c r="AY23" i="26"/>
  <c r="AW23" i="26"/>
  <c r="AU23" i="26"/>
  <c r="AL22" i="26"/>
  <c r="AI22" i="26"/>
  <c r="AG22" i="26"/>
  <c r="X22" i="26"/>
  <c r="X21" i="26"/>
  <c r="AZ20" i="26"/>
  <c r="AY20" i="26"/>
  <c r="AX20" i="26"/>
  <c r="AW20" i="26"/>
  <c r="AU20" i="26"/>
  <c r="X20" i="26"/>
  <c r="AZ19" i="26"/>
  <c r="AY19" i="26"/>
  <c r="AX19" i="26"/>
  <c r="AW19" i="26"/>
  <c r="AU19" i="26"/>
  <c r="X19" i="26"/>
  <c r="AZ18" i="26"/>
  <c r="AY18" i="26"/>
  <c r="AX18" i="26"/>
  <c r="AW18" i="26"/>
  <c r="AU18" i="26"/>
  <c r="X18" i="26"/>
  <c r="X23" i="26" s="1"/>
  <c r="BB15" i="26"/>
  <c r="AX15" i="26" s="1"/>
  <c r="Z15" i="26"/>
  <c r="BB14" i="26"/>
  <c r="AX14" i="26" s="1"/>
  <c r="Z14" i="26"/>
  <c r="BB13" i="26"/>
  <c r="Z13" i="26"/>
  <c r="BB12" i="26"/>
  <c r="AX12" i="26" s="1"/>
  <c r="Z12" i="26"/>
  <c r="BB11" i="26"/>
  <c r="AX11" i="26" s="1"/>
  <c r="Z11" i="26"/>
  <c r="BB10" i="26"/>
  <c r="Z10" i="26"/>
  <c r="BB9" i="26"/>
  <c r="AX9" i="26" s="1"/>
  <c r="Z9" i="26"/>
  <c r="BB8" i="26"/>
  <c r="AX8" i="26" s="1"/>
  <c r="Z8" i="26"/>
  <c r="BB7" i="26"/>
  <c r="Z7" i="26"/>
  <c r="AJ24" i="26" s="1"/>
  <c r="Y25" i="25"/>
  <c r="AY24" i="25"/>
  <c r="AW24" i="25"/>
  <c r="AU24" i="25"/>
  <c r="AY23" i="25"/>
  <c r="AW23" i="25"/>
  <c r="AU23" i="25"/>
  <c r="AL22" i="25"/>
  <c r="AI22" i="25"/>
  <c r="AG22" i="25"/>
  <c r="X22" i="25"/>
  <c r="X21" i="25"/>
  <c r="AZ20" i="25"/>
  <c r="AY20" i="25"/>
  <c r="AX20" i="25"/>
  <c r="AW20" i="25"/>
  <c r="AU20" i="25"/>
  <c r="X20" i="25"/>
  <c r="AZ19" i="25"/>
  <c r="AY19" i="25"/>
  <c r="AX19" i="25"/>
  <c r="AW19" i="25"/>
  <c r="AU19" i="25"/>
  <c r="X19" i="25"/>
  <c r="AZ18" i="25"/>
  <c r="AY18" i="25"/>
  <c r="AX18" i="25"/>
  <c r="AW18" i="25"/>
  <c r="AU18" i="25"/>
  <c r="X18" i="25"/>
  <c r="BB15" i="25"/>
  <c r="AX15" i="25" s="1"/>
  <c r="Z15" i="25"/>
  <c r="BB14" i="25"/>
  <c r="AX14" i="25" s="1"/>
  <c r="Z14" i="25"/>
  <c r="BB13" i="25"/>
  <c r="Z13" i="25"/>
  <c r="AQ24" i="25" s="1"/>
  <c r="BB12" i="25"/>
  <c r="AX12" i="25" s="1"/>
  <c r="Z12" i="25"/>
  <c r="BB11" i="25"/>
  <c r="AX11" i="25" s="1"/>
  <c r="Z11" i="25"/>
  <c r="BB10" i="25"/>
  <c r="Z10" i="25"/>
  <c r="BB9" i="25"/>
  <c r="AX9" i="25" s="1"/>
  <c r="Z9" i="25"/>
  <c r="BB8" i="25"/>
  <c r="AX8" i="25" s="1"/>
  <c r="Z8" i="25"/>
  <c r="BB7" i="25"/>
  <c r="Z7" i="25"/>
  <c r="AJ24" i="25" s="1"/>
  <c r="AN24" i="26" l="1"/>
  <c r="AN24" i="25"/>
  <c r="AO22" i="26"/>
  <c r="AQ24" i="26"/>
  <c r="BA18" i="25"/>
  <c r="AG20" i="25"/>
  <c r="AG20" i="26"/>
  <c r="AL20" i="26"/>
  <c r="AQ25" i="26"/>
  <c r="X23" i="25"/>
  <c r="BA20" i="26"/>
  <c r="BA24" i="26"/>
  <c r="BA24" i="25"/>
  <c r="AI20" i="26"/>
  <c r="BA19" i="26"/>
  <c r="BA23" i="26"/>
  <c r="AX10" i="26"/>
  <c r="AI18" i="26" s="1"/>
  <c r="AE25" i="26"/>
  <c r="BA18" i="26"/>
  <c r="AX7" i="26"/>
  <c r="AG18" i="26" s="1"/>
  <c r="AO22" i="25"/>
  <c r="AL20" i="25"/>
  <c r="AQ25" i="25"/>
  <c r="BA20" i="25"/>
  <c r="BA23" i="25"/>
  <c r="AX13" i="25"/>
  <c r="AL18" i="25" s="1"/>
  <c r="AI20" i="25"/>
  <c r="BA19" i="25"/>
  <c r="AX10" i="25"/>
  <c r="AI18" i="25" s="1"/>
  <c r="AE25" i="25"/>
  <c r="AJ25" i="26"/>
  <c r="AX13" i="26"/>
  <c r="AL18" i="26" s="1"/>
  <c r="AN25" i="26"/>
  <c r="AX7" i="25"/>
  <c r="AG18" i="25" s="1"/>
  <c r="AJ25" i="25"/>
  <c r="AN25" i="25"/>
  <c r="AC25" i="24"/>
  <c r="AY24" i="24"/>
  <c r="AW24" i="24"/>
  <c r="AU24" i="24"/>
  <c r="AY23" i="24"/>
  <c r="AW23" i="24"/>
  <c r="AL22" i="24"/>
  <c r="AI22" i="24"/>
  <c r="AG22" i="24"/>
  <c r="X22" i="24"/>
  <c r="X21" i="24"/>
  <c r="AZ20" i="24"/>
  <c r="AY20" i="24"/>
  <c r="AX20" i="24"/>
  <c r="AW20" i="24"/>
  <c r="AU20" i="24"/>
  <c r="X20" i="24"/>
  <c r="AZ19" i="24"/>
  <c r="AY19" i="24"/>
  <c r="AX19" i="24"/>
  <c r="AW19" i="24"/>
  <c r="AU19" i="24"/>
  <c r="X19" i="24"/>
  <c r="AZ18" i="24"/>
  <c r="AY18" i="24"/>
  <c r="AX18" i="24"/>
  <c r="AW18" i="24"/>
  <c r="AU18" i="24"/>
  <c r="X18" i="24"/>
  <c r="BB15" i="24"/>
  <c r="AX15" i="24" s="1"/>
  <c r="Z15" i="24"/>
  <c r="BB14" i="24"/>
  <c r="AX14" i="24" s="1"/>
  <c r="Z14" i="24"/>
  <c r="BB13" i="24"/>
  <c r="Z13" i="24"/>
  <c r="AQ24" i="24" s="1"/>
  <c r="BB12" i="24"/>
  <c r="AX12" i="24" s="1"/>
  <c r="Z12" i="24"/>
  <c r="BB11" i="24"/>
  <c r="AX11" i="24" s="1"/>
  <c r="Z11" i="24"/>
  <c r="BB10" i="24"/>
  <c r="Z10" i="24"/>
  <c r="AN24" i="24" s="1"/>
  <c r="BB9" i="24"/>
  <c r="AX9" i="24" s="1"/>
  <c r="Z9" i="24"/>
  <c r="BB8" i="24"/>
  <c r="AX8" i="24" s="1"/>
  <c r="Z8" i="24"/>
  <c r="BB7" i="24"/>
  <c r="AX7" i="24" s="1"/>
  <c r="Z7" i="24"/>
  <c r="Y25" i="23"/>
  <c r="AY24" i="23"/>
  <c r="AW24" i="23"/>
  <c r="AU24" i="23"/>
  <c r="AY23" i="23"/>
  <c r="AW23" i="23"/>
  <c r="AU23" i="23"/>
  <c r="AL22" i="23"/>
  <c r="AI22" i="23"/>
  <c r="AG22" i="23"/>
  <c r="X22" i="23"/>
  <c r="X21" i="23"/>
  <c r="AZ20" i="23"/>
  <c r="AY20" i="23"/>
  <c r="AX20" i="23"/>
  <c r="AW20" i="23"/>
  <c r="AU20" i="23"/>
  <c r="AZ19" i="23"/>
  <c r="AY19" i="23"/>
  <c r="AX19" i="23"/>
  <c r="AW19" i="23"/>
  <c r="AU19" i="23"/>
  <c r="X19" i="23"/>
  <c r="AZ18" i="23"/>
  <c r="AY18" i="23"/>
  <c r="AX18" i="23"/>
  <c r="AW18" i="23"/>
  <c r="AU18" i="23"/>
  <c r="X18" i="23"/>
  <c r="BB15" i="23"/>
  <c r="AX15" i="23" s="1"/>
  <c r="Z15" i="23"/>
  <c r="BB14" i="23"/>
  <c r="AX14" i="23" s="1"/>
  <c r="Z14" i="23"/>
  <c r="BB13" i="23"/>
  <c r="Z13" i="23"/>
  <c r="AQ24" i="23" s="1"/>
  <c r="BB12" i="23"/>
  <c r="AX12" i="23" s="1"/>
  <c r="Z12" i="23"/>
  <c r="BB11" i="23"/>
  <c r="AX11" i="23" s="1"/>
  <c r="Z11" i="23"/>
  <c r="BB10" i="23"/>
  <c r="Z10" i="23"/>
  <c r="AN24" i="23" s="1"/>
  <c r="BB9" i="23"/>
  <c r="AX9" i="23" s="1"/>
  <c r="Z9" i="23"/>
  <c r="BB8" i="23"/>
  <c r="AX8" i="23" s="1"/>
  <c r="Z8" i="23"/>
  <c r="BB7" i="23"/>
  <c r="Z7" i="23"/>
  <c r="Z25" i="22"/>
  <c r="AY24" i="22"/>
  <c r="AW24" i="22"/>
  <c r="AU24" i="22"/>
  <c r="AY23" i="22"/>
  <c r="AW23" i="22"/>
  <c r="AL22" i="22"/>
  <c r="AI22" i="22"/>
  <c r="AG22" i="22"/>
  <c r="X22" i="22"/>
  <c r="X21" i="22"/>
  <c r="AZ20" i="22"/>
  <c r="AY20" i="22"/>
  <c r="AX20" i="22"/>
  <c r="AW20" i="22"/>
  <c r="AU20" i="22"/>
  <c r="X20" i="22"/>
  <c r="AZ19" i="22"/>
  <c r="AY19" i="22"/>
  <c r="AX19" i="22"/>
  <c r="AW19" i="22"/>
  <c r="AU19" i="22"/>
  <c r="X19" i="22"/>
  <c r="AZ18" i="22"/>
  <c r="AY18" i="22"/>
  <c r="AX18" i="22"/>
  <c r="AW18" i="22"/>
  <c r="AU18" i="22"/>
  <c r="X18" i="22"/>
  <c r="BB15" i="22"/>
  <c r="AX15" i="22" s="1"/>
  <c r="Z15" i="22"/>
  <c r="BB14" i="22"/>
  <c r="AX14" i="22" s="1"/>
  <c r="Z14" i="22"/>
  <c r="BB13" i="22"/>
  <c r="Z13" i="22"/>
  <c r="AQ24" i="22" s="1"/>
  <c r="BB12" i="22"/>
  <c r="AX12" i="22" s="1"/>
  <c r="Z12" i="22"/>
  <c r="BB11" i="22"/>
  <c r="AX11" i="22" s="1"/>
  <c r="Z11" i="22"/>
  <c r="BB10" i="22"/>
  <c r="Z10" i="22"/>
  <c r="AN24" i="22" s="1"/>
  <c r="BB9" i="22"/>
  <c r="AX9" i="22" s="1"/>
  <c r="Z9" i="22"/>
  <c r="BB8" i="22"/>
  <c r="AX8" i="22" s="1"/>
  <c r="Z8" i="22"/>
  <c r="BB7" i="22"/>
  <c r="AX7" i="22" s="1"/>
  <c r="Z7" i="22"/>
  <c r="AJ24" i="22" s="1"/>
  <c r="Z25" i="19"/>
  <c r="AZ20" i="18"/>
  <c r="AY23" i="18"/>
  <c r="AJ24" i="24" l="1"/>
  <c r="AJ24" i="23"/>
  <c r="AJ25" i="23"/>
  <c r="AQ25" i="22"/>
  <c r="AO20" i="26"/>
  <c r="X23" i="23"/>
  <c r="AO22" i="23"/>
  <c r="AO22" i="24"/>
  <c r="X23" i="22"/>
  <c r="AL20" i="23"/>
  <c r="AQ25" i="23"/>
  <c r="BA20" i="23"/>
  <c r="BA24" i="23"/>
  <c r="AO22" i="22"/>
  <c r="AG20" i="22"/>
  <c r="BA18" i="22"/>
  <c r="AG18" i="22"/>
  <c r="X23" i="24"/>
  <c r="AE25" i="24"/>
  <c r="AI20" i="24"/>
  <c r="BA19" i="24"/>
  <c r="AQ25" i="24"/>
  <c r="AO20" i="25"/>
  <c r="BA24" i="24"/>
  <c r="AG20" i="24"/>
  <c r="BA18" i="24"/>
  <c r="AL20" i="24"/>
  <c r="BA20" i="24"/>
  <c r="AX13" i="24"/>
  <c r="AL18" i="24" s="1"/>
  <c r="BA23" i="24"/>
  <c r="AO18" i="26"/>
  <c r="AO18" i="25"/>
  <c r="AI20" i="23"/>
  <c r="BA19" i="23"/>
  <c r="AX10" i="23"/>
  <c r="AI18" i="23" s="1"/>
  <c r="BA23" i="23"/>
  <c r="AE25" i="23"/>
  <c r="AG20" i="23"/>
  <c r="BA18" i="23"/>
  <c r="AX7" i="23"/>
  <c r="AG18" i="23" s="1"/>
  <c r="AG18" i="24"/>
  <c r="AX10" i="24"/>
  <c r="AI18" i="24" s="1"/>
  <c r="AJ25" i="24"/>
  <c r="AN25" i="24"/>
  <c r="AL20" i="22"/>
  <c r="BA20" i="22"/>
  <c r="AX13" i="22"/>
  <c r="AL18" i="22" s="1"/>
  <c r="BA23" i="22"/>
  <c r="AI20" i="22"/>
  <c r="BA19" i="22"/>
  <c r="BA24" i="22"/>
  <c r="AE25" i="22"/>
  <c r="AX13" i="23"/>
  <c r="AL18" i="23" s="1"/>
  <c r="AN25" i="23"/>
  <c r="AX10" i="22"/>
  <c r="AI18" i="22" s="1"/>
  <c r="AJ25" i="22"/>
  <c r="AN25" i="22"/>
  <c r="AO20" i="24" l="1"/>
  <c r="AO20" i="23"/>
  <c r="AO18" i="23"/>
  <c r="AO18" i="24"/>
  <c r="AO20" i="22"/>
  <c r="AO18" i="22"/>
  <c r="Y25" i="20"/>
  <c r="AY24" i="20"/>
  <c r="AW24" i="20"/>
  <c r="AU24" i="20"/>
  <c r="AY23" i="20"/>
  <c r="AU23" i="20"/>
  <c r="AL22" i="20"/>
  <c r="AI22" i="20"/>
  <c r="AG22" i="20"/>
  <c r="X22" i="20"/>
  <c r="X21" i="20"/>
  <c r="AZ20" i="20"/>
  <c r="AY20" i="20"/>
  <c r="AX20" i="20"/>
  <c r="AW20" i="20"/>
  <c r="AU20" i="20"/>
  <c r="X20" i="20"/>
  <c r="AZ19" i="20"/>
  <c r="AY19" i="20"/>
  <c r="AX19" i="20"/>
  <c r="AW19" i="20"/>
  <c r="AU19" i="20"/>
  <c r="X19" i="20"/>
  <c r="AZ18" i="20"/>
  <c r="AY18" i="20"/>
  <c r="AX18" i="20"/>
  <c r="AW18" i="20"/>
  <c r="AU18" i="20"/>
  <c r="X18" i="20"/>
  <c r="BB15" i="20"/>
  <c r="AX15" i="20" s="1"/>
  <c r="Z15" i="20"/>
  <c r="BB14" i="20"/>
  <c r="AX14" i="20" s="1"/>
  <c r="Z14" i="20"/>
  <c r="BB13" i="20"/>
  <c r="Z13" i="20"/>
  <c r="AQ24" i="20" s="1"/>
  <c r="BB12" i="20"/>
  <c r="AX12" i="20" s="1"/>
  <c r="Z12" i="20"/>
  <c r="BB11" i="20"/>
  <c r="AX11" i="20" s="1"/>
  <c r="Z11" i="20"/>
  <c r="BB10" i="20"/>
  <c r="Z10" i="20"/>
  <c r="BB9" i="20"/>
  <c r="AX9" i="20" s="1"/>
  <c r="Z9" i="20"/>
  <c r="BB8" i="20"/>
  <c r="AX8" i="20" s="1"/>
  <c r="Z8" i="20"/>
  <c r="BB7" i="20"/>
  <c r="Z7" i="20"/>
  <c r="AY24" i="19"/>
  <c r="AW24" i="19"/>
  <c r="AU24" i="19"/>
  <c r="AY23" i="19"/>
  <c r="AW23" i="19"/>
  <c r="AU23" i="19"/>
  <c r="AL22" i="19"/>
  <c r="AI22" i="19"/>
  <c r="AG22" i="19"/>
  <c r="X22" i="19"/>
  <c r="X21" i="19"/>
  <c r="AZ20" i="19"/>
  <c r="AY20" i="19"/>
  <c r="AX20" i="19"/>
  <c r="AW20" i="19"/>
  <c r="AU20" i="19"/>
  <c r="X20" i="19"/>
  <c r="AZ19" i="19"/>
  <c r="AY19" i="19"/>
  <c r="AX19" i="19"/>
  <c r="AW19" i="19"/>
  <c r="AU19" i="19"/>
  <c r="X19" i="19"/>
  <c r="AZ18" i="19"/>
  <c r="AY18" i="19"/>
  <c r="AX18" i="19"/>
  <c r="AW18" i="19"/>
  <c r="AU18" i="19"/>
  <c r="X18" i="19"/>
  <c r="BB15" i="19"/>
  <c r="AX15" i="19" s="1"/>
  <c r="Z15" i="19"/>
  <c r="BB14" i="19"/>
  <c r="AX14" i="19" s="1"/>
  <c r="Z14" i="19"/>
  <c r="BB13" i="19"/>
  <c r="AX13" i="19" s="1"/>
  <c r="Z13" i="19"/>
  <c r="AQ24" i="19" s="1"/>
  <c r="BB12" i="19"/>
  <c r="AX12" i="19" s="1"/>
  <c r="Z12" i="19"/>
  <c r="BB11" i="19"/>
  <c r="AX11" i="19" s="1"/>
  <c r="Z11" i="19"/>
  <c r="BB10" i="19"/>
  <c r="AX10" i="19" s="1"/>
  <c r="Z10" i="19"/>
  <c r="BB9" i="19"/>
  <c r="AX9" i="19" s="1"/>
  <c r="Z9" i="19"/>
  <c r="BB8" i="19"/>
  <c r="AX8" i="19" s="1"/>
  <c r="Z8" i="19"/>
  <c r="BB7" i="19"/>
  <c r="Z7" i="19"/>
  <c r="AY24" i="18"/>
  <c r="BA23" i="18"/>
  <c r="AL22" i="18"/>
  <c r="AI22" i="18"/>
  <c r="AO22" i="18" s="1"/>
  <c r="AG22" i="18"/>
  <c r="X22" i="18"/>
  <c r="X21" i="18"/>
  <c r="AY20" i="18"/>
  <c r="AX20" i="18"/>
  <c r="AW20" i="18"/>
  <c r="AU20" i="18"/>
  <c r="X20" i="18"/>
  <c r="X19" i="18"/>
  <c r="X18" i="18"/>
  <c r="BB15" i="18"/>
  <c r="AX15" i="18" s="1"/>
  <c r="Z15" i="18"/>
  <c r="BB14" i="18"/>
  <c r="AX14" i="18" s="1"/>
  <c r="Z14" i="18"/>
  <c r="BB13" i="18"/>
  <c r="Z13" i="18"/>
  <c r="AQ24" i="18" s="1"/>
  <c r="BB12" i="18"/>
  <c r="AX12" i="18" s="1"/>
  <c r="Z12" i="18"/>
  <c r="BB11" i="18"/>
  <c r="Z11" i="18"/>
  <c r="BB10" i="18"/>
  <c r="Z10" i="18"/>
  <c r="AN24" i="18" s="1"/>
  <c r="BB9" i="18"/>
  <c r="AX9" i="18" s="1"/>
  <c r="Z9" i="18"/>
  <c r="BB8" i="18"/>
  <c r="AX8" i="18" s="1"/>
  <c r="Z8" i="18"/>
  <c r="BB7" i="18"/>
  <c r="Z7" i="18"/>
  <c r="Y25" i="17"/>
  <c r="AY24" i="17"/>
  <c r="AW24" i="17"/>
  <c r="AU24" i="17"/>
  <c r="AY23" i="17"/>
  <c r="AW23" i="17"/>
  <c r="AU23" i="17"/>
  <c r="AO22" i="17"/>
  <c r="AL22" i="17"/>
  <c r="AI22" i="17"/>
  <c r="AG22" i="17"/>
  <c r="X22" i="17"/>
  <c r="X21" i="17"/>
  <c r="AZ20" i="17"/>
  <c r="AY20" i="17"/>
  <c r="AX20" i="17"/>
  <c r="AW20" i="17"/>
  <c r="AU20" i="17"/>
  <c r="X20" i="17"/>
  <c r="AZ19" i="17"/>
  <c r="AY19" i="17"/>
  <c r="AX19" i="17"/>
  <c r="AW19" i="17"/>
  <c r="AU19" i="17"/>
  <c r="X19" i="17"/>
  <c r="AZ18" i="17"/>
  <c r="AY18" i="17"/>
  <c r="AX18" i="17"/>
  <c r="AW18" i="17"/>
  <c r="AU18" i="17"/>
  <c r="X18" i="17"/>
  <c r="X23" i="17" s="1"/>
  <c r="BB15" i="17"/>
  <c r="AX15" i="17" s="1"/>
  <c r="Z15" i="17"/>
  <c r="BB14" i="17"/>
  <c r="AX14" i="17" s="1"/>
  <c r="Z14" i="17"/>
  <c r="BB13" i="17"/>
  <c r="AX13" i="17" s="1"/>
  <c r="Z13" i="17"/>
  <c r="BB12" i="17"/>
  <c r="AX12" i="17" s="1"/>
  <c r="Z12" i="17"/>
  <c r="BB11" i="17"/>
  <c r="AX11" i="17" s="1"/>
  <c r="Z11" i="17"/>
  <c r="BB10" i="17"/>
  <c r="Z10" i="17"/>
  <c r="BB9" i="17"/>
  <c r="AX9" i="17" s="1"/>
  <c r="Z9" i="17"/>
  <c r="BB8" i="17"/>
  <c r="AX8" i="17" s="1"/>
  <c r="Z8" i="17"/>
  <c r="BB7" i="17"/>
  <c r="AX7" i="17" s="1"/>
  <c r="Z7" i="17"/>
  <c r="AY24" i="16"/>
  <c r="AW24" i="16"/>
  <c r="AU24" i="16"/>
  <c r="AY23" i="16"/>
  <c r="AW23" i="16"/>
  <c r="AU23" i="16"/>
  <c r="AL22" i="16"/>
  <c r="AI22" i="16"/>
  <c r="AG22" i="16"/>
  <c r="X22" i="16"/>
  <c r="X21" i="16"/>
  <c r="AZ20" i="16"/>
  <c r="AY20" i="16"/>
  <c r="AX20" i="16"/>
  <c r="AW20" i="16"/>
  <c r="AU20" i="16"/>
  <c r="X20" i="16"/>
  <c r="AZ19" i="16"/>
  <c r="AY19" i="16"/>
  <c r="AX19" i="16"/>
  <c r="AW19" i="16"/>
  <c r="AU19" i="16"/>
  <c r="X19" i="16"/>
  <c r="AZ18" i="16"/>
  <c r="AY18" i="16"/>
  <c r="AX18" i="16"/>
  <c r="AW18" i="16"/>
  <c r="AU18" i="16"/>
  <c r="X18" i="16"/>
  <c r="BB15" i="16"/>
  <c r="AX15" i="16" s="1"/>
  <c r="Z15" i="16"/>
  <c r="BB14" i="16"/>
  <c r="AX14" i="16" s="1"/>
  <c r="Z14" i="16"/>
  <c r="BB13" i="16"/>
  <c r="AX13" i="16" s="1"/>
  <c r="Z13" i="16"/>
  <c r="BB12" i="16"/>
  <c r="AX12" i="16" s="1"/>
  <c r="Z12" i="16"/>
  <c r="BB11" i="16"/>
  <c r="AX11" i="16" s="1"/>
  <c r="Z11" i="16"/>
  <c r="BB10" i="16"/>
  <c r="Z10" i="16"/>
  <c r="AN24" i="16" s="1"/>
  <c r="BB9" i="16"/>
  <c r="AX9" i="16" s="1"/>
  <c r="Z9" i="16"/>
  <c r="BB8" i="16"/>
  <c r="AX8" i="16" s="1"/>
  <c r="Z8" i="16"/>
  <c r="BB7" i="16"/>
  <c r="AX7" i="16" s="1"/>
  <c r="Z7" i="16"/>
  <c r="AJ24" i="16" s="1"/>
  <c r="AJ24" i="17" l="1"/>
  <c r="AJ24" i="19"/>
  <c r="AN24" i="19"/>
  <c r="AJ24" i="18"/>
  <c r="AN24" i="17"/>
  <c r="AN24" i="20"/>
  <c r="AJ24" i="20"/>
  <c r="AO22" i="20"/>
  <c r="X23" i="19"/>
  <c r="AG20" i="18"/>
  <c r="X23" i="18"/>
  <c r="X23" i="20"/>
  <c r="AL20" i="20"/>
  <c r="AJ25" i="18"/>
  <c r="AN25" i="18"/>
  <c r="AX10" i="18"/>
  <c r="AI20" i="18"/>
  <c r="AQ25" i="20"/>
  <c r="BA20" i="20"/>
  <c r="AE25" i="20"/>
  <c r="AX13" i="20"/>
  <c r="AL18" i="20" s="1"/>
  <c r="AO22" i="19"/>
  <c r="AG20" i="19"/>
  <c r="BA18" i="19"/>
  <c r="AX7" i="19"/>
  <c r="AG18" i="19" s="1"/>
  <c r="AL18" i="17"/>
  <c r="AQ25" i="17"/>
  <c r="AJ25" i="16"/>
  <c r="AQ25" i="19"/>
  <c r="AX11" i="18"/>
  <c r="BA24" i="18"/>
  <c r="AQ25" i="18"/>
  <c r="BA20" i="17"/>
  <c r="BA24" i="17"/>
  <c r="X23" i="16"/>
  <c r="BA18" i="16"/>
  <c r="BA24" i="16"/>
  <c r="AI20" i="16"/>
  <c r="AG20" i="16"/>
  <c r="BA23" i="20"/>
  <c r="AI20" i="20"/>
  <c r="BA19" i="20"/>
  <c r="BA24" i="20"/>
  <c r="AG20" i="20"/>
  <c r="BA18" i="20"/>
  <c r="AX7" i="20"/>
  <c r="AG18" i="20" s="1"/>
  <c r="BA23" i="19"/>
  <c r="AL18" i="19"/>
  <c r="BA20" i="19"/>
  <c r="AI20" i="19"/>
  <c r="AE25" i="19"/>
  <c r="AN25" i="19"/>
  <c r="BA19" i="19"/>
  <c r="BA24" i="19"/>
  <c r="AI18" i="19"/>
  <c r="BA19" i="18"/>
  <c r="BA18" i="18"/>
  <c r="AX7" i="18"/>
  <c r="AG18" i="18" s="1"/>
  <c r="AE25" i="18"/>
  <c r="BA20" i="18"/>
  <c r="AL20" i="18"/>
  <c r="AI20" i="17"/>
  <c r="AE25" i="17"/>
  <c r="BA19" i="17"/>
  <c r="BA23" i="17"/>
  <c r="AO22" i="16"/>
  <c r="AG20" i="17"/>
  <c r="BA18" i="17"/>
  <c r="AL20" i="16"/>
  <c r="AE25" i="16"/>
  <c r="AQ25" i="16"/>
  <c r="BA20" i="16"/>
  <c r="BA19" i="16"/>
  <c r="BA23" i="16"/>
  <c r="AN25" i="16"/>
  <c r="AX10" i="20"/>
  <c r="AI18" i="20" s="1"/>
  <c r="AJ25" i="20"/>
  <c r="AN25" i="20"/>
  <c r="AL20" i="19"/>
  <c r="AJ25" i="19"/>
  <c r="AX13" i="18"/>
  <c r="AL18" i="18" s="1"/>
  <c r="AG18" i="17"/>
  <c r="AL20" i="17"/>
  <c r="AX10" i="17"/>
  <c r="AI18" i="17" s="1"/>
  <c r="AJ25" i="17"/>
  <c r="AN25" i="17"/>
  <c r="AL18" i="16"/>
  <c r="AG18" i="16"/>
  <c r="AX10" i="16"/>
  <c r="AI18" i="16" s="1"/>
  <c r="AY24" i="15"/>
  <c r="AW24" i="15"/>
  <c r="AU24" i="15"/>
  <c r="AY23" i="15"/>
  <c r="AW23" i="15"/>
  <c r="AU23" i="15"/>
  <c r="AL22" i="15"/>
  <c r="AI22" i="15"/>
  <c r="AG22" i="15"/>
  <c r="X22" i="15"/>
  <c r="X21" i="15"/>
  <c r="AZ20" i="15"/>
  <c r="AY20" i="15"/>
  <c r="AX20" i="15"/>
  <c r="AW20" i="15"/>
  <c r="AU20" i="15"/>
  <c r="X20" i="15"/>
  <c r="AZ19" i="15"/>
  <c r="AY19" i="15"/>
  <c r="AX19" i="15"/>
  <c r="AW19" i="15"/>
  <c r="AU19" i="15"/>
  <c r="X19" i="15"/>
  <c r="AZ18" i="15"/>
  <c r="AY18" i="15"/>
  <c r="AX18" i="15"/>
  <c r="AW18" i="15"/>
  <c r="AU18" i="15"/>
  <c r="X18" i="15"/>
  <c r="BB15" i="15"/>
  <c r="AX15" i="15" s="1"/>
  <c r="Z15" i="15"/>
  <c r="BB14" i="15"/>
  <c r="AX14" i="15" s="1"/>
  <c r="Z14" i="15"/>
  <c r="BB13" i="15"/>
  <c r="Z13" i="15"/>
  <c r="BB12" i="15"/>
  <c r="AX12" i="15" s="1"/>
  <c r="Z12" i="15"/>
  <c r="BB11" i="15"/>
  <c r="AX11" i="15" s="1"/>
  <c r="Z11" i="15"/>
  <c r="BB10" i="15"/>
  <c r="AX10" i="15" s="1"/>
  <c r="Z10" i="15"/>
  <c r="BB9" i="15"/>
  <c r="AX9" i="15" s="1"/>
  <c r="Z9" i="15"/>
  <c r="BB8" i="15"/>
  <c r="AX8" i="15" s="1"/>
  <c r="Z8" i="15"/>
  <c r="BB7" i="15"/>
  <c r="Z7" i="15"/>
  <c r="AQ24" i="15" l="1"/>
  <c r="AO22" i="15"/>
  <c r="AI18" i="18"/>
  <c r="AO18" i="18" s="1"/>
  <c r="AO20" i="18"/>
  <c r="AO20" i="17"/>
  <c r="AO20" i="16"/>
  <c r="BA24" i="15"/>
  <c r="AQ25" i="15"/>
  <c r="AO20" i="20"/>
  <c r="AO18" i="19"/>
  <c r="AO20" i="19"/>
  <c r="AO18" i="17"/>
  <c r="AL20" i="15"/>
  <c r="AO18" i="20"/>
  <c r="AO18" i="16"/>
  <c r="AG20" i="15"/>
  <c r="BA20" i="15"/>
  <c r="AE25" i="15"/>
  <c r="AI20" i="15"/>
  <c r="BA19" i="15"/>
  <c r="BA23" i="15"/>
  <c r="X23" i="15"/>
  <c r="BA18" i="15"/>
  <c r="AX7" i="15"/>
  <c r="AG18" i="15" s="1"/>
  <c r="AI18" i="15"/>
  <c r="AJ25" i="15"/>
  <c r="AX13" i="15"/>
  <c r="AL18" i="15" s="1"/>
  <c r="AN25" i="15"/>
  <c r="AO20" i="15" l="1"/>
  <c r="AO18" i="15"/>
</calcChain>
</file>

<file path=xl/sharedStrings.xml><?xml version="1.0" encoding="utf-8"?>
<sst xmlns="http://schemas.openxmlformats.org/spreadsheetml/2006/main" count="3444" uniqueCount="130">
  <si>
    <t>گزارش روزانه تولید</t>
  </si>
  <si>
    <t>a</t>
  </si>
  <si>
    <t>سر شیفت / کوره بان</t>
  </si>
  <si>
    <t xml:space="preserve"> مسئول شیفت CCM :  </t>
  </si>
  <si>
    <t xml:space="preserve">مسئول کنترل کیفیت </t>
  </si>
  <si>
    <t>b</t>
  </si>
  <si>
    <t xml:space="preserve"> سر شیفت / کوره بان </t>
  </si>
  <si>
    <t xml:space="preserve"> مسئول شیفت CCM :</t>
  </si>
  <si>
    <t>اطلاعات ذوب</t>
  </si>
  <si>
    <t>عمر پاتیل</t>
  </si>
  <si>
    <t>عمر تیوپ</t>
  </si>
  <si>
    <t>آنالیز شیمیایی</t>
  </si>
  <si>
    <t>شمش تولیدی M</t>
  </si>
  <si>
    <t>مواد اولیه</t>
  </si>
  <si>
    <t>تناژ شمش وتولید</t>
  </si>
  <si>
    <t>ردیف</t>
  </si>
  <si>
    <t>شیفت</t>
  </si>
  <si>
    <t xml:space="preserve">شماره ذوب </t>
  </si>
  <si>
    <t>عمر کوره</t>
  </si>
  <si>
    <t xml:space="preserve">شماره بوته </t>
  </si>
  <si>
    <t>زمان استارت</t>
  </si>
  <si>
    <t>زمان تخلیه</t>
  </si>
  <si>
    <t>زمان ذوب</t>
  </si>
  <si>
    <t>شماره پاتیل</t>
  </si>
  <si>
    <t xml:space="preserve">خط1    قالب1  </t>
  </si>
  <si>
    <t xml:space="preserve">خط2    قالب2 </t>
  </si>
  <si>
    <t>S%</t>
  </si>
  <si>
    <t>P%</t>
  </si>
  <si>
    <t>Mn%</t>
  </si>
  <si>
    <t>Si%</t>
  </si>
  <si>
    <t>C%</t>
  </si>
  <si>
    <t>گرید</t>
  </si>
  <si>
    <t>شمش150×150</t>
  </si>
  <si>
    <t>SiMn</t>
  </si>
  <si>
    <t>Si</t>
  </si>
  <si>
    <t>Al</t>
  </si>
  <si>
    <t>Cr</t>
  </si>
  <si>
    <t>تناژمذاب</t>
  </si>
  <si>
    <t>تناژسر شمش</t>
  </si>
  <si>
    <t>تناژ پرتی</t>
  </si>
  <si>
    <t xml:space="preserve">ذوب برگشتی </t>
  </si>
  <si>
    <t>تناژ تولید</t>
  </si>
  <si>
    <t>توقفات</t>
  </si>
  <si>
    <t>مجموع مصرف مواد</t>
  </si>
  <si>
    <t>شروع</t>
  </si>
  <si>
    <t>پایان</t>
  </si>
  <si>
    <t>مدت</t>
  </si>
  <si>
    <t xml:space="preserve">   شرح</t>
  </si>
  <si>
    <t>شیفت A</t>
  </si>
  <si>
    <t>شیفت B</t>
  </si>
  <si>
    <t>مجموع تولید</t>
  </si>
  <si>
    <t xml:space="preserve">شیفت </t>
  </si>
  <si>
    <t>مجموع (kg)</t>
  </si>
  <si>
    <t>تناژ مذاب</t>
  </si>
  <si>
    <t>تناژ پرتی و برگشتی</t>
  </si>
  <si>
    <t>دمای تخلیه</t>
  </si>
  <si>
    <t>دمای پاتیل</t>
  </si>
  <si>
    <t>مجموع</t>
  </si>
  <si>
    <t>متوسط زمان هر ذوب</t>
  </si>
  <si>
    <t xml:space="preserve">مجموع زمان ذوب </t>
  </si>
  <si>
    <t>استاندارد</t>
  </si>
  <si>
    <t>جمع</t>
  </si>
  <si>
    <t>توقف تولید</t>
  </si>
  <si>
    <t>توقف فنی</t>
  </si>
  <si>
    <t>نرمال</t>
  </si>
  <si>
    <t>c</t>
  </si>
  <si>
    <t>Ms</t>
  </si>
  <si>
    <t>شماره ذوب</t>
  </si>
  <si>
    <t>شیفت C</t>
  </si>
  <si>
    <t>شمش</t>
  </si>
  <si>
    <t>شیفت  a</t>
  </si>
  <si>
    <t>شیفت  b</t>
  </si>
  <si>
    <t>شیفت  c</t>
  </si>
  <si>
    <t>زمان ریختگری</t>
  </si>
  <si>
    <t>ملاجعفری</t>
  </si>
  <si>
    <t>شمس الدینی</t>
  </si>
  <si>
    <t>بهارستانی</t>
  </si>
  <si>
    <t>محمدی</t>
  </si>
  <si>
    <t>اجدروش</t>
  </si>
  <si>
    <t>حسینی</t>
  </si>
  <si>
    <t>دهقانی</t>
  </si>
  <si>
    <t>کمالی</t>
  </si>
  <si>
    <t>کاظم زاده</t>
  </si>
  <si>
    <t>میانگین تناژ تولید روزانه</t>
  </si>
  <si>
    <t>تاریخ</t>
  </si>
  <si>
    <t>شیفت a</t>
  </si>
  <si>
    <t>شیفت b</t>
  </si>
  <si>
    <t>میانگین زمان ذوب روزانه</t>
  </si>
  <si>
    <t>مجموع زمان ذوب روزانه</t>
  </si>
  <si>
    <t>شیفت c</t>
  </si>
  <si>
    <t>مجموع زمان ریخته گری</t>
  </si>
  <si>
    <t>.</t>
  </si>
  <si>
    <t>C</t>
  </si>
  <si>
    <t xml:space="preserve"> </t>
  </si>
  <si>
    <t>1405/03/02</t>
  </si>
  <si>
    <t>1405/04/03</t>
  </si>
  <si>
    <t>1404/04/07</t>
  </si>
  <si>
    <t>1404/04/06</t>
  </si>
  <si>
    <t>1404/04/05</t>
  </si>
  <si>
    <t>1404/04/04</t>
  </si>
  <si>
    <t>1404/04/08</t>
  </si>
  <si>
    <t>1404/04/09</t>
  </si>
  <si>
    <t>1404/04/11</t>
  </si>
  <si>
    <t>1404/04/10</t>
  </si>
  <si>
    <t>1404/04/12</t>
  </si>
  <si>
    <t>1404/04/13</t>
  </si>
  <si>
    <t>1404/04/14</t>
  </si>
  <si>
    <t>1404/04/15</t>
  </si>
  <si>
    <t>1404/04/16</t>
  </si>
  <si>
    <t>1404/04/17</t>
  </si>
  <si>
    <t>1404/04/18</t>
  </si>
  <si>
    <t>1404/04/19</t>
  </si>
  <si>
    <t>1404/04/20</t>
  </si>
  <si>
    <t>1404/04/21</t>
  </si>
  <si>
    <t>1404/04/22</t>
  </si>
  <si>
    <t>1404/04/23</t>
  </si>
  <si>
    <t>1404/04/24</t>
  </si>
  <si>
    <t>1404/04/25</t>
  </si>
  <si>
    <t>1404/04/26</t>
  </si>
  <si>
    <t>1404/04/27</t>
  </si>
  <si>
    <t>1405/04/28</t>
  </si>
  <si>
    <t>1405/04/29</t>
  </si>
  <si>
    <t>1405/04/30</t>
  </si>
  <si>
    <t>1405/04/31</t>
  </si>
  <si>
    <t>1405/05/01</t>
  </si>
  <si>
    <t>1</t>
  </si>
  <si>
    <t xml:space="preserve">توقف کوره به دلیل چک کردن و آچارکشی کوره </t>
  </si>
  <si>
    <t>خالی بودن باکس های اسفنجی</t>
  </si>
  <si>
    <t>مجموع تعداد شمش نرمال</t>
  </si>
  <si>
    <t xml:space="preserve">مجموع تعداد شمش استاندارد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</si>
</sst>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[$-160429]dddd\,\ d\ mmmm\ yyyy;@"/>
    <numFmt numFmtId="165" formatCode="[h]:mm"/>
    <numFmt numFmtId="166" formatCode="h:mm;@"/>
    <numFmt numFmtId="167" formatCode="[$-3020429]General"/>
    <numFmt numFmtId="168" formatCode="[$-1000000]hh:mm:ss;@"/>
    <numFmt numFmtId="169" formatCode="m/d;@"/>
    <numFmt numFmtId="170" formatCode="[h]:m"/>
  </numFmts>
  <fonts count="5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36"/>
      <color theme="1"/>
      <name val="B Nazanin"/>
      <charset val="178"/>
    </font>
    <font>
      <b/>
      <sz val="26"/>
      <color theme="1"/>
      <name val="B Nazanin"/>
      <charset val="178"/>
    </font>
    <font>
      <b/>
      <sz val="20"/>
      <color theme="1"/>
      <name val="B Nazanin"/>
      <charset val="178"/>
    </font>
    <font>
      <b/>
      <sz val="24"/>
      <color theme="1"/>
      <name val="B Nazanin"/>
      <charset val="178"/>
    </font>
    <font>
      <b/>
      <sz val="18"/>
      <color theme="1"/>
      <name val="B Nazanin"/>
      <charset val="178"/>
    </font>
    <font>
      <sz val="11"/>
      <color theme="1"/>
      <name val="B Nazanin"/>
      <family val="2"/>
    </font>
    <font>
      <sz val="18"/>
      <color theme="1"/>
      <name val="B Nazanin"/>
      <charset val="178"/>
    </font>
    <font>
      <sz val="20"/>
      <color theme="1"/>
      <name val="B Nazanin"/>
      <charset val="178"/>
    </font>
    <font>
      <sz val="20"/>
      <color theme="1"/>
      <name val="B Nazanin"/>
      <family val="2"/>
    </font>
    <font>
      <sz val="18"/>
      <color theme="1"/>
      <name val="B Nazanin"/>
      <family val="2"/>
    </font>
    <font>
      <sz val="20"/>
      <color rgb="FF3F3F3F"/>
      <name val="B Nazanin"/>
      <charset val="178"/>
    </font>
    <font>
      <b/>
      <sz val="36"/>
      <color rgb="FF3F3F3F"/>
      <name val="B Nazanin"/>
      <family val="2"/>
    </font>
    <font>
      <b/>
      <sz val="16"/>
      <color theme="1"/>
      <name val="B Nazanin"/>
      <charset val="178"/>
    </font>
    <font>
      <b/>
      <sz val="14"/>
      <color theme="1"/>
      <name val="B Nazanin"/>
      <charset val="178"/>
    </font>
    <font>
      <b/>
      <sz val="15"/>
      <color theme="1"/>
      <name val="Times New Roman"/>
      <family val="1"/>
    </font>
    <font>
      <b/>
      <sz val="17.5"/>
      <color theme="1"/>
      <name val="B Nazanin"/>
      <charset val="178"/>
    </font>
    <font>
      <b/>
      <sz val="48"/>
      <color theme="1"/>
      <name val="B Nazanin"/>
      <charset val="178"/>
    </font>
    <font>
      <b/>
      <sz val="17.5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28"/>
      <color theme="0"/>
      <name val="B Nazanin"/>
      <charset val="178"/>
    </font>
    <font>
      <b/>
      <sz val="28"/>
      <color theme="1"/>
      <name val="B Nazanin"/>
      <charset val="178"/>
    </font>
    <font>
      <b/>
      <sz val="22"/>
      <color theme="1"/>
      <name val="B Nazanin"/>
      <charset val="178"/>
    </font>
    <font>
      <b/>
      <sz val="11"/>
      <color rgb="FF3F3F3F"/>
      <name val="B Nazanin"/>
      <family val="2"/>
    </font>
    <font>
      <b/>
      <sz val="22"/>
      <color rgb="FF3F3F3F"/>
      <name val="B Nazanin"/>
      <family val="2"/>
    </font>
    <font>
      <b/>
      <sz val="24"/>
      <color rgb="FF3F3F3F"/>
      <name val="B Nazanin"/>
      <charset val="178"/>
    </font>
    <font>
      <b/>
      <sz val="20"/>
      <color rgb="FF3F3F3F"/>
      <name val="B Nazanin"/>
      <family val="2"/>
    </font>
    <font>
      <sz val="22"/>
      <color theme="1"/>
      <name val="B Nazanin"/>
      <charset val="178"/>
    </font>
    <font>
      <sz val="22"/>
      <color rgb="FF3F3F3F"/>
      <name val="B Nazanin"/>
      <charset val="178"/>
    </font>
    <font>
      <b/>
      <sz val="28"/>
      <color rgb="FF3F3F3F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28"/>
      <color rgb="FF3F3F3F"/>
      <name val="B Nazanin"/>
      <family val="2"/>
    </font>
    <font>
      <b/>
      <sz val="24"/>
      <color rgb="FF3F3F3F"/>
      <name val="Aptos Narrow"/>
      <family val="2"/>
      <scheme val="minor"/>
    </font>
    <font>
      <b/>
      <sz val="26"/>
      <color rgb="FF3F3F3F"/>
      <name val="B Nazanin"/>
      <charset val="178"/>
    </font>
    <font>
      <b/>
      <sz val="26"/>
      <color rgb="FF3F3F3F"/>
      <name val="Aptos Narrow"/>
      <family val="2"/>
      <scheme val="minor"/>
    </font>
    <font>
      <b/>
      <sz val="28"/>
      <color rgb="FF3F3F3F"/>
      <name val="B Nazanin"/>
      <charset val="178"/>
    </font>
    <font>
      <b/>
      <sz val="24"/>
      <color rgb="FF3F3F3F"/>
      <name val="Aptos Display"/>
      <family val="2"/>
      <scheme val="major"/>
    </font>
    <font>
      <sz val="24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24"/>
      <name val="Aptos Display"/>
      <family val="2"/>
      <scheme val="major"/>
    </font>
    <font>
      <b/>
      <sz val="22"/>
      <color rgb="FF3F3F3F"/>
      <name val="B Nazanin"/>
      <charset val="178"/>
    </font>
    <font>
      <b/>
      <sz val="16"/>
      <color rgb="FF3F3F3F"/>
      <name val="B Nazanin"/>
      <charset val="178"/>
    </font>
    <font>
      <b/>
      <sz val="16"/>
      <name val="B Nazanin"/>
      <charset val="178"/>
    </font>
    <font>
      <sz val="24"/>
      <color theme="1"/>
      <name val="B Nazanin"/>
      <charset val="178"/>
    </font>
    <font>
      <sz val="26"/>
      <color theme="1"/>
      <name val="B Nazanin"/>
      <charset val="178"/>
    </font>
    <font>
      <b/>
      <sz val="26"/>
      <color rgb="FF3F3F3F"/>
      <name val="B Nazanin"/>
      <family val="2"/>
    </font>
    <font>
      <sz val="17.5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  Mitra_1 (MRT)"/>
      <charset val="178"/>
    </font>
    <font>
      <sz val="10"/>
      <color rgb="FF000000"/>
      <name val="Times New Roman"/>
      <family val="1"/>
    </font>
    <font>
      <sz val="14"/>
      <color theme="1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7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auto="1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/>
      <top style="thin">
        <color rgb="FF3F3F3F"/>
      </top>
      <bottom/>
      <diagonal/>
    </border>
    <border>
      <left/>
      <right/>
      <top style="thin">
        <color rgb="FF3F3F3F"/>
      </top>
      <bottom/>
      <diagonal/>
    </border>
    <border>
      <left/>
      <right style="thin">
        <color auto="1"/>
      </right>
      <top style="thin">
        <color rgb="FF3F3F3F"/>
      </top>
      <bottom/>
      <diagonal/>
    </border>
    <border>
      <left style="thin">
        <color auto="1"/>
      </left>
      <right/>
      <top style="thin">
        <color rgb="FF3F3F3F"/>
      </top>
      <bottom style="thin">
        <color indexed="64"/>
      </bottom>
      <diagonal/>
    </border>
    <border>
      <left/>
      <right/>
      <top style="thin">
        <color rgb="FF3F3F3F"/>
      </top>
      <bottom style="thin">
        <color auto="1"/>
      </bottom>
      <diagonal/>
    </border>
    <border>
      <left/>
      <right style="thin">
        <color auto="1"/>
      </right>
      <top style="thin">
        <color rgb="FF3F3F3F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auto="1"/>
      </top>
      <bottom style="thin">
        <color rgb="FF3F3F3F"/>
      </bottom>
      <diagonal/>
    </border>
    <border>
      <left/>
      <right/>
      <top style="thin">
        <color auto="1"/>
      </top>
      <bottom style="thin">
        <color rgb="FF3F3F3F"/>
      </bottom>
      <diagonal/>
    </border>
    <border>
      <left/>
      <right style="thin">
        <color auto="1"/>
      </right>
      <top style="thin">
        <color auto="1"/>
      </top>
      <bottom style="thin">
        <color rgb="FF3F3F3F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rgb="FF3F3F3F"/>
      </top>
      <bottom style="medium">
        <color auto="1"/>
      </bottom>
      <diagonal/>
    </border>
    <border>
      <left/>
      <right/>
      <top style="thin">
        <color rgb="FF3F3F3F"/>
      </top>
      <bottom style="medium">
        <color auto="1"/>
      </bottom>
      <diagonal/>
    </border>
    <border>
      <left/>
      <right style="medium">
        <color auto="1"/>
      </right>
      <top style="thin">
        <color rgb="FF3F3F3F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rgb="FF3F3F3F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/>
      <top style="thin">
        <color auto="1"/>
      </top>
      <bottom/>
      <diagonal/>
    </border>
    <border>
      <left/>
      <right style="thin">
        <color rgb="FF3F3F3F"/>
      </right>
      <top style="thin">
        <color auto="1"/>
      </top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rgb="FF3F3F3F"/>
      </bottom>
      <diagonal/>
    </border>
    <border>
      <left/>
      <right style="thin">
        <color rgb="FF3F3F3F"/>
      </right>
      <top style="thin">
        <color auto="1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28" fillId="2" borderId="1" applyNumberFormat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55" fillId="0" borderId="0"/>
  </cellStyleXfs>
  <cellXfs count="403">
    <xf numFmtId="0" fontId="0" fillId="0" borderId="0" xfId="0"/>
    <xf numFmtId="0" fontId="5" fillId="8" borderId="5" xfId="0" applyFont="1" applyFill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Protection="1">
      <protection locked="0"/>
    </xf>
    <xf numFmtId="0" fontId="5" fillId="9" borderId="5" xfId="0" applyFont="1" applyFill="1" applyBorder="1" applyAlignment="1" applyProtection="1">
      <alignment horizontal="center" vertical="center"/>
      <protection locked="0"/>
    </xf>
    <xf numFmtId="0" fontId="6" fillId="0" borderId="21" xfId="0" applyFont="1" applyBorder="1" applyAlignment="1" applyProtection="1">
      <alignment horizontal="center" vertical="center"/>
      <protection locked="0"/>
    </xf>
    <xf numFmtId="0" fontId="15" fillId="14" borderId="32" xfId="0" applyFont="1" applyFill="1" applyBorder="1" applyAlignment="1" applyProtection="1">
      <alignment vertical="center"/>
      <protection locked="0"/>
    </xf>
    <xf numFmtId="0" fontId="15" fillId="14" borderId="34" xfId="0" applyFont="1" applyFill="1" applyBorder="1" applyAlignment="1" applyProtection="1">
      <alignment vertical="center"/>
      <protection locked="0"/>
    </xf>
    <xf numFmtId="0" fontId="15" fillId="14" borderId="42" xfId="0" applyFont="1" applyFill="1" applyBorder="1" applyAlignment="1" applyProtection="1">
      <alignment horizontal="center" vertical="center"/>
      <protection locked="0"/>
    </xf>
    <xf numFmtId="0" fontId="15" fillId="14" borderId="43" xfId="0" applyFont="1" applyFill="1" applyBorder="1" applyAlignment="1" applyProtection="1">
      <alignment horizontal="center" vertical="center"/>
      <protection locked="0"/>
    </xf>
    <xf numFmtId="0" fontId="15" fillId="14" borderId="19" xfId="0" applyFont="1" applyFill="1" applyBorder="1" applyAlignment="1" applyProtection="1">
      <alignment horizontal="center" vertical="center"/>
      <protection locked="0"/>
    </xf>
    <xf numFmtId="0" fontId="17" fillId="0" borderId="46" xfId="0" applyFont="1" applyBorder="1" applyAlignment="1">
      <alignment horizontal="center" vertical="center"/>
    </xf>
    <xf numFmtId="1" fontId="19" fillId="0" borderId="47" xfId="0" applyNumberFormat="1" applyFont="1" applyBorder="1" applyAlignment="1" applyProtection="1">
      <alignment horizontal="center" vertical="center"/>
      <protection locked="0"/>
    </xf>
    <xf numFmtId="0" fontId="20" fillId="0" borderId="47" xfId="0" applyFont="1" applyBorder="1" applyAlignment="1" applyProtection="1">
      <alignment horizontal="center" vertical="center"/>
      <protection locked="0"/>
    </xf>
    <xf numFmtId="49" fontId="20" fillId="0" borderId="47" xfId="0" applyNumberFormat="1" applyFont="1" applyBorder="1" applyAlignment="1" applyProtection="1">
      <alignment horizontal="center" vertical="center"/>
      <protection locked="0"/>
    </xf>
    <xf numFmtId="165" fontId="19" fillId="0" borderId="47" xfId="0" applyNumberFormat="1" applyFont="1" applyBorder="1" applyAlignment="1" applyProtection="1">
      <alignment horizontal="center" vertical="center"/>
      <protection locked="0"/>
    </xf>
    <xf numFmtId="166" fontId="19" fillId="0" borderId="47" xfId="0" applyNumberFormat="1" applyFont="1" applyBorder="1" applyAlignment="1" applyProtection="1">
      <alignment horizontal="center" vertical="center"/>
      <protection locked="0"/>
    </xf>
    <xf numFmtId="166" fontId="21" fillId="16" borderId="47" xfId="0" applyNumberFormat="1" applyFont="1" applyFill="1" applyBorder="1" applyAlignment="1" applyProtection="1">
      <alignment horizontal="center" vertical="center"/>
      <protection locked="0"/>
    </xf>
    <xf numFmtId="0" fontId="19" fillId="0" borderId="46" xfId="0" applyFont="1" applyBorder="1" applyAlignment="1" applyProtection="1">
      <alignment horizontal="center" vertical="center"/>
      <protection locked="0"/>
    </xf>
    <xf numFmtId="0" fontId="19" fillId="0" borderId="48" xfId="0" applyFont="1" applyBorder="1" applyAlignment="1" applyProtection="1">
      <alignment horizontal="center" vertical="center"/>
      <protection locked="0"/>
    </xf>
    <xf numFmtId="2" fontId="19" fillId="0" borderId="46" xfId="0" applyNumberFormat="1" applyFont="1" applyBorder="1" applyAlignment="1" applyProtection="1">
      <alignment horizontal="center" vertical="center"/>
      <protection locked="0"/>
    </xf>
    <xf numFmtId="0" fontId="22" fillId="0" borderId="49" xfId="0" applyFont="1" applyBorder="1" applyAlignment="1" applyProtection="1">
      <alignment horizontal="center" vertical="center"/>
      <protection locked="0"/>
    </xf>
    <xf numFmtId="0" fontId="22" fillId="0" borderId="47" xfId="0" applyFont="1" applyBorder="1" applyAlignment="1" applyProtection="1">
      <alignment horizontal="center" vertical="center"/>
      <protection locked="0"/>
    </xf>
    <xf numFmtId="0" fontId="22" fillId="0" borderId="48" xfId="0" applyFont="1" applyBorder="1" applyAlignment="1" applyProtection="1">
      <alignment horizontal="center" vertical="center"/>
      <protection locked="0"/>
    </xf>
    <xf numFmtId="0" fontId="19" fillId="17" borderId="46" xfId="0" applyFont="1" applyFill="1" applyBorder="1" applyAlignment="1" applyProtection="1">
      <alignment horizontal="center" vertical="center"/>
      <protection locked="0"/>
    </xf>
    <xf numFmtId="1" fontId="19" fillId="17" borderId="47" xfId="0" applyNumberFormat="1" applyFont="1" applyFill="1" applyBorder="1" applyAlignment="1" applyProtection="1">
      <alignment horizontal="center" vertical="center"/>
      <protection locked="0"/>
    </xf>
    <xf numFmtId="167" fontId="19" fillId="0" borderId="48" xfId="0" applyNumberFormat="1" applyFont="1" applyBorder="1" applyAlignment="1" applyProtection="1">
      <alignment horizontal="center" vertical="center"/>
      <protection locked="0"/>
    </xf>
    <xf numFmtId="1" fontId="19" fillId="0" borderId="46" xfId="0" applyNumberFormat="1" applyFont="1" applyBorder="1" applyAlignment="1" applyProtection="1">
      <alignment horizontal="center" vertical="center"/>
      <protection locked="0"/>
    </xf>
    <xf numFmtId="1" fontId="19" fillId="0" borderId="48" xfId="0" applyNumberFormat="1" applyFont="1" applyBorder="1" applyAlignment="1" applyProtection="1">
      <alignment horizontal="center" vertical="center"/>
      <protection locked="0"/>
    </xf>
    <xf numFmtId="1" fontId="23" fillId="0" borderId="49" xfId="0" applyNumberFormat="1" applyFont="1" applyBorder="1" applyAlignment="1" applyProtection="1">
      <alignment horizontal="center" vertical="center"/>
      <protection locked="0"/>
    </xf>
    <xf numFmtId="1" fontId="23" fillId="13" borderId="47" xfId="0" applyNumberFormat="1" applyFont="1" applyFill="1" applyBorder="1" applyAlignment="1" applyProtection="1">
      <alignment horizontal="center" vertical="center"/>
      <protection locked="0"/>
    </xf>
    <xf numFmtId="1" fontId="23" fillId="0" borderId="47" xfId="0" applyNumberFormat="1" applyFont="1" applyBorder="1" applyAlignment="1" applyProtection="1">
      <alignment horizontal="center" vertical="center"/>
      <protection locked="0"/>
    </xf>
    <xf numFmtId="1" fontId="23" fillId="0" borderId="48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1" fontId="19" fillId="0" borderId="2" xfId="0" applyNumberFormat="1" applyFont="1" applyBorder="1" applyAlignment="1" applyProtection="1">
      <alignment horizontal="center" vertical="center"/>
      <protection locked="0"/>
    </xf>
    <xf numFmtId="20" fontId="19" fillId="0" borderId="2" xfId="0" applyNumberFormat="1" applyFont="1" applyBorder="1" applyAlignment="1" applyProtection="1">
      <alignment horizontal="center" vertical="center"/>
      <protection locked="0"/>
    </xf>
    <xf numFmtId="166" fontId="19" fillId="16" borderId="2" xfId="0" applyNumberFormat="1" applyFont="1" applyFill="1" applyBorder="1" applyAlignment="1" applyProtection="1">
      <alignment horizontal="center" vertical="center"/>
      <protection locked="0"/>
    </xf>
    <xf numFmtId="0" fontId="19" fillId="0" borderId="50" xfId="0" applyFont="1" applyBorder="1" applyAlignment="1" applyProtection="1">
      <alignment horizontal="center" vertical="center"/>
      <protection locked="0"/>
    </xf>
    <xf numFmtId="0" fontId="19" fillId="0" borderId="52" xfId="0" applyFont="1" applyBorder="1" applyAlignment="1" applyProtection="1">
      <alignment horizontal="center" vertical="center"/>
      <protection locked="0"/>
    </xf>
    <xf numFmtId="2" fontId="19" fillId="0" borderId="50" xfId="0" applyNumberFormat="1" applyFont="1" applyBorder="1" applyAlignment="1" applyProtection="1">
      <alignment horizontal="center" vertical="center"/>
      <protection locked="0"/>
    </xf>
    <xf numFmtId="0" fontId="22" fillId="0" borderId="9" xfId="0" applyFont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52" xfId="0" applyFont="1" applyBorder="1" applyAlignment="1" applyProtection="1">
      <alignment horizontal="center" vertical="center"/>
      <protection locked="0"/>
    </xf>
    <xf numFmtId="0" fontId="19" fillId="17" borderId="50" xfId="0" applyFont="1" applyFill="1" applyBorder="1" applyAlignment="1" applyProtection="1">
      <alignment horizontal="center" vertical="center"/>
      <protection locked="0"/>
    </xf>
    <xf numFmtId="1" fontId="19" fillId="17" borderId="2" xfId="0" applyNumberFormat="1" applyFont="1" applyFill="1" applyBorder="1" applyAlignment="1" applyProtection="1">
      <alignment horizontal="center" vertical="center"/>
      <protection locked="0"/>
    </xf>
    <xf numFmtId="167" fontId="19" fillId="0" borderId="52" xfId="0" applyNumberFormat="1" applyFont="1" applyBorder="1" applyAlignment="1" applyProtection="1">
      <alignment horizontal="center" vertical="center"/>
      <protection locked="0"/>
    </xf>
    <xf numFmtId="1" fontId="19" fillId="0" borderId="50" xfId="0" applyNumberFormat="1" applyFont="1" applyBorder="1" applyAlignment="1" applyProtection="1">
      <alignment horizontal="center" vertical="center"/>
      <protection locked="0"/>
    </xf>
    <xf numFmtId="1" fontId="19" fillId="0" borderId="52" xfId="0" applyNumberFormat="1" applyFont="1" applyBorder="1" applyAlignment="1" applyProtection="1">
      <alignment horizontal="center" vertical="center"/>
      <protection locked="0"/>
    </xf>
    <xf numFmtId="1" fontId="23" fillId="0" borderId="9" xfId="0" applyNumberFormat="1" applyFont="1" applyBorder="1" applyAlignment="1" applyProtection="1">
      <alignment horizontal="center" vertical="center"/>
      <protection locked="0"/>
    </xf>
    <xf numFmtId="1" fontId="23" fillId="17" borderId="2" xfId="0" applyNumberFormat="1" applyFont="1" applyFill="1" applyBorder="1" applyAlignment="1" applyProtection="1">
      <alignment horizontal="center" vertical="center"/>
      <protection locked="0"/>
    </xf>
    <xf numFmtId="1" fontId="23" fillId="13" borderId="2" xfId="0" applyNumberFormat="1" applyFont="1" applyFill="1" applyBorder="1" applyAlignment="1" applyProtection="1">
      <alignment horizontal="center" vertical="center"/>
      <protection locked="0"/>
    </xf>
    <xf numFmtId="1" fontId="23" fillId="0" borderId="2" xfId="0" applyNumberFormat="1" applyFont="1" applyBorder="1" applyAlignment="1" applyProtection="1">
      <alignment horizontal="center" vertical="center"/>
      <protection locked="0"/>
    </xf>
    <xf numFmtId="1" fontId="23" fillId="0" borderId="52" xfId="0" applyNumberFormat="1" applyFont="1" applyBorder="1" applyAlignment="1" applyProtection="1">
      <alignment horizontal="center" vertical="center"/>
      <protection locked="0"/>
    </xf>
    <xf numFmtId="20" fontId="19" fillId="0" borderId="47" xfId="0" applyNumberFormat="1" applyFont="1" applyBorder="1" applyAlignment="1" applyProtection="1">
      <alignment horizontal="center" vertical="center"/>
      <protection locked="0"/>
    </xf>
    <xf numFmtId="166" fontId="19" fillId="16" borderId="47" xfId="0" applyNumberFormat="1" applyFont="1" applyFill="1" applyBorder="1" applyAlignment="1" applyProtection="1">
      <alignment horizontal="center" vertical="center"/>
      <protection locked="0"/>
    </xf>
    <xf numFmtId="1" fontId="23" fillId="9" borderId="48" xfId="0" applyNumberFormat="1" applyFont="1" applyFill="1" applyBorder="1" applyAlignment="1" applyProtection="1">
      <alignment horizontal="center" vertical="center"/>
      <protection locked="0"/>
    </xf>
    <xf numFmtId="1" fontId="23" fillId="9" borderId="52" xfId="0" applyNumberFormat="1" applyFont="1" applyFill="1" applyBorder="1" applyAlignment="1" applyProtection="1">
      <alignment horizontal="center" vertical="center"/>
      <protection locked="0"/>
    </xf>
    <xf numFmtId="1" fontId="19" fillId="0" borderId="54" xfId="0" applyNumberFormat="1" applyFont="1" applyBorder="1" applyAlignment="1" applyProtection="1">
      <alignment horizontal="center" vertical="center"/>
      <protection locked="0"/>
    </xf>
    <xf numFmtId="0" fontId="20" fillId="0" borderId="54" xfId="0" applyFont="1" applyBorder="1" applyAlignment="1" applyProtection="1">
      <alignment horizontal="center" vertical="center"/>
      <protection locked="0"/>
    </xf>
    <xf numFmtId="20" fontId="19" fillId="0" borderId="54" xfId="0" applyNumberFormat="1" applyFont="1" applyBorder="1" applyAlignment="1" applyProtection="1">
      <alignment horizontal="center" vertical="center"/>
      <protection locked="0"/>
    </xf>
    <xf numFmtId="166" fontId="19" fillId="16" borderId="54" xfId="0" applyNumberFormat="1" applyFont="1" applyFill="1" applyBorder="1" applyAlignment="1" applyProtection="1">
      <alignment horizontal="center" vertical="center"/>
      <protection locked="0"/>
    </xf>
    <xf numFmtId="0" fontId="19" fillId="0" borderId="53" xfId="0" applyFont="1" applyBorder="1" applyAlignment="1" applyProtection="1">
      <alignment horizontal="center" vertical="center"/>
      <protection locked="0"/>
    </xf>
    <xf numFmtId="0" fontId="19" fillId="0" borderId="55" xfId="0" applyFont="1" applyBorder="1" applyAlignment="1" applyProtection="1">
      <alignment horizontal="center" vertical="center"/>
      <protection locked="0"/>
    </xf>
    <xf numFmtId="2" fontId="19" fillId="0" borderId="53" xfId="0" applyNumberFormat="1" applyFont="1" applyBorder="1" applyAlignment="1" applyProtection="1">
      <alignment horizontal="center" vertical="center"/>
      <protection locked="0"/>
    </xf>
    <xf numFmtId="0" fontId="22" fillId="0" borderId="56" xfId="0" applyFont="1" applyBorder="1" applyAlignment="1" applyProtection="1">
      <alignment horizontal="center" vertical="center"/>
      <protection locked="0"/>
    </xf>
    <xf numFmtId="0" fontId="22" fillId="0" borderId="55" xfId="0" applyFont="1" applyBorder="1" applyAlignment="1" applyProtection="1">
      <alignment horizontal="center" vertical="center"/>
      <protection locked="0"/>
    </xf>
    <xf numFmtId="0" fontId="22" fillId="0" borderId="54" xfId="0" applyFont="1" applyBorder="1" applyAlignment="1" applyProtection="1">
      <alignment horizontal="center" vertical="center"/>
      <protection locked="0"/>
    </xf>
    <xf numFmtId="0" fontId="19" fillId="17" borderId="53" xfId="0" applyFont="1" applyFill="1" applyBorder="1" applyAlignment="1" applyProtection="1">
      <alignment horizontal="center" vertical="center"/>
      <protection locked="0"/>
    </xf>
    <xf numFmtId="1" fontId="19" fillId="17" borderId="54" xfId="0" applyNumberFormat="1" applyFont="1" applyFill="1" applyBorder="1" applyAlignment="1" applyProtection="1">
      <alignment horizontal="center" vertical="center"/>
      <protection locked="0"/>
    </xf>
    <xf numFmtId="167" fontId="19" fillId="0" borderId="55" xfId="0" applyNumberFormat="1" applyFont="1" applyBorder="1" applyAlignment="1" applyProtection="1">
      <alignment horizontal="center" vertical="center"/>
      <protection locked="0"/>
    </xf>
    <xf numFmtId="1" fontId="19" fillId="0" borderId="53" xfId="0" applyNumberFormat="1" applyFont="1" applyBorder="1" applyAlignment="1" applyProtection="1">
      <alignment horizontal="center" vertical="center"/>
      <protection locked="0"/>
    </xf>
    <xf numFmtId="0" fontId="24" fillId="0" borderId="0" xfId="0" applyFont="1" applyProtection="1">
      <protection locked="0"/>
    </xf>
    <xf numFmtId="0" fontId="6" fillId="20" borderId="2" xfId="0" applyFont="1" applyFill="1" applyBorder="1" applyAlignment="1" applyProtection="1">
      <alignment horizontal="center" vertical="center" textRotation="90" wrapText="1"/>
      <protection locked="0"/>
    </xf>
    <xf numFmtId="0" fontId="4" fillId="6" borderId="63" xfId="6" applyFont="1" applyBorder="1" applyAlignment="1" applyProtection="1">
      <alignment horizontal="center" vertical="center"/>
      <protection locked="0"/>
    </xf>
    <xf numFmtId="0" fontId="21" fillId="14" borderId="2" xfId="0" applyFont="1" applyFill="1" applyBorder="1" applyAlignment="1" applyProtection="1">
      <alignment horizontal="center" vertical="center"/>
      <protection locked="0"/>
    </xf>
    <xf numFmtId="0" fontId="29" fillId="14" borderId="2" xfId="2" applyFont="1" applyFill="1" applyBorder="1" applyAlignment="1" applyProtection="1">
      <alignment horizontal="center" vertical="center" textRotation="90" wrapText="1"/>
      <protection locked="0"/>
    </xf>
    <xf numFmtId="0" fontId="29" fillId="14" borderId="2" xfId="2" applyFont="1" applyFill="1" applyBorder="1" applyAlignment="1" applyProtection="1">
      <alignment horizontal="center" vertical="center" wrapText="1"/>
      <protection locked="0"/>
    </xf>
    <xf numFmtId="0" fontId="5" fillId="20" borderId="2" xfId="0" applyFont="1" applyFill="1" applyBorder="1" applyAlignment="1" applyProtection="1">
      <alignment horizontal="center" vertical="center"/>
      <protection locked="0"/>
    </xf>
    <xf numFmtId="168" fontId="31" fillId="2" borderId="63" xfId="2" applyNumberFormat="1" applyFont="1" applyBorder="1" applyAlignment="1" applyProtection="1">
      <alignment horizontal="center" vertical="center" wrapText="1"/>
      <protection locked="0"/>
    </xf>
    <xf numFmtId="0" fontId="32" fillId="21" borderId="2" xfId="0" applyFont="1" applyFill="1" applyBorder="1" applyAlignment="1" applyProtection="1">
      <alignment horizontal="center" vertical="center"/>
      <protection locked="0"/>
    </xf>
    <xf numFmtId="0" fontId="29" fillId="8" borderId="2" xfId="2" applyFont="1" applyFill="1" applyBorder="1" applyAlignment="1" applyProtection="1">
      <alignment horizontal="center" vertical="center" wrapText="1"/>
      <protection locked="0"/>
    </xf>
    <xf numFmtId="1" fontId="20" fillId="21" borderId="2" xfId="5" applyNumberFormat="1" applyFont="1" applyFill="1" applyBorder="1" applyAlignment="1" applyProtection="1">
      <alignment horizontal="center" vertical="center" wrapText="1"/>
      <protection locked="0"/>
    </xf>
    <xf numFmtId="0" fontId="29" fillId="9" borderId="2" xfId="2" applyFont="1" applyFill="1" applyBorder="1" applyAlignment="1" applyProtection="1">
      <alignment horizontal="center" vertical="center" wrapText="1"/>
      <protection locked="0"/>
    </xf>
    <xf numFmtId="1" fontId="37" fillId="2" borderId="2" xfId="2" applyNumberFormat="1" applyFont="1" applyBorder="1" applyAlignment="1" applyProtection="1">
      <alignment horizontal="center" vertical="center" wrapText="1"/>
      <protection locked="0"/>
    </xf>
    <xf numFmtId="20" fontId="43" fillId="14" borderId="2" xfId="0" applyNumberFormat="1" applyFont="1" applyFill="1" applyBorder="1" applyAlignment="1" applyProtection="1">
      <alignment horizontal="center" vertical="center"/>
      <protection locked="0"/>
    </xf>
    <xf numFmtId="20" fontId="4" fillId="14" borderId="8" xfId="0" applyNumberFormat="1" applyFont="1" applyFill="1" applyBorder="1" applyAlignment="1" applyProtection="1">
      <alignment horizontal="center" vertical="center"/>
      <protection locked="0"/>
    </xf>
    <xf numFmtId="20" fontId="9" fillId="14" borderId="8" xfId="0" applyNumberFormat="1" applyFont="1" applyFill="1" applyBorder="1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0" fontId="5" fillId="22" borderId="5" xfId="0" applyFont="1" applyFill="1" applyBorder="1" applyAlignment="1" applyProtection="1">
      <alignment horizontal="center" vertical="center"/>
      <protection locked="0"/>
    </xf>
    <xf numFmtId="0" fontId="45" fillId="22" borderId="2" xfId="2" applyFont="1" applyFill="1" applyBorder="1" applyAlignment="1" applyProtection="1">
      <alignment horizontal="center" vertical="center" wrapText="1"/>
      <protection locked="0"/>
    </xf>
    <xf numFmtId="0" fontId="5" fillId="16" borderId="2" xfId="6" applyFont="1" applyFill="1" applyBorder="1" applyAlignment="1" applyProtection="1">
      <alignment vertical="center" readingOrder="2"/>
      <protection locked="0"/>
    </xf>
    <xf numFmtId="3" fontId="34" fillId="10" borderId="2" xfId="2" applyNumberFormat="1" applyFont="1" applyFill="1" applyBorder="1" applyAlignment="1" applyProtection="1">
      <alignment vertical="center" wrapText="1"/>
      <protection locked="0"/>
    </xf>
    <xf numFmtId="3" fontId="35" fillId="10" borderId="2" xfId="0" applyNumberFormat="1" applyFont="1" applyFill="1" applyBorder="1" applyAlignment="1" applyProtection="1">
      <alignment vertical="center"/>
      <protection locked="0"/>
    </xf>
    <xf numFmtId="3" fontId="34" fillId="10" borderId="8" xfId="2" applyNumberFormat="1" applyFont="1" applyFill="1" applyBorder="1" applyAlignment="1" applyProtection="1">
      <alignment vertical="center" wrapText="1"/>
      <protection locked="0"/>
    </xf>
    <xf numFmtId="0" fontId="46" fillId="14" borderId="33" xfId="2" applyFont="1" applyFill="1" applyBorder="1" applyAlignment="1" applyProtection="1">
      <alignment horizontal="center" vertical="center" textRotation="90"/>
      <protection locked="0"/>
    </xf>
    <xf numFmtId="0" fontId="47" fillId="14" borderId="7" xfId="0" applyFont="1" applyFill="1" applyBorder="1" applyAlignment="1" applyProtection="1">
      <alignment horizontal="center" vertical="center" textRotation="90"/>
      <protection locked="0"/>
    </xf>
    <xf numFmtId="0" fontId="45" fillId="14" borderId="2" xfId="2" applyFont="1" applyFill="1" applyBorder="1" applyAlignment="1" applyProtection="1">
      <alignment horizontal="center" vertical="center" textRotation="90" wrapText="1"/>
      <protection locked="0"/>
    </xf>
    <xf numFmtId="1" fontId="41" fillId="21" borderId="2" xfId="2" applyNumberFormat="1" applyFont="1" applyFill="1" applyBorder="1" applyAlignment="1" applyProtection="1">
      <alignment horizontal="center" vertical="center" wrapText="1"/>
      <protection locked="0"/>
    </xf>
    <xf numFmtId="166" fontId="51" fillId="0" borderId="48" xfId="0" applyNumberFormat="1" applyFont="1" applyBorder="1" applyAlignment="1" applyProtection="1">
      <alignment horizontal="center" vertical="center"/>
      <protection locked="0"/>
    </xf>
    <xf numFmtId="166" fontId="51" fillId="0" borderId="52" xfId="0" applyNumberFormat="1" applyFont="1" applyBorder="1" applyAlignment="1" applyProtection="1">
      <alignment horizontal="center" vertical="center"/>
      <protection locked="0"/>
    </xf>
    <xf numFmtId="166" fontId="51" fillId="0" borderId="55" xfId="0" applyNumberFormat="1" applyFont="1" applyBorder="1" applyAlignment="1" applyProtection="1">
      <alignment horizontal="center" vertical="center"/>
      <protection locked="0"/>
    </xf>
    <xf numFmtId="0" fontId="48" fillId="0" borderId="2" xfId="0" applyFont="1" applyBorder="1" applyAlignment="1" applyProtection="1">
      <alignment horizontal="center" vertical="center"/>
      <protection locked="0"/>
    </xf>
    <xf numFmtId="0" fontId="48" fillId="8" borderId="2" xfId="0" applyFont="1" applyFill="1" applyBorder="1" applyAlignment="1" applyProtection="1">
      <alignment horizontal="center" vertical="center"/>
      <protection locked="0"/>
    </xf>
    <xf numFmtId="0" fontId="48" fillId="9" borderId="2" xfId="0" applyFont="1" applyFill="1" applyBorder="1" applyAlignment="1" applyProtection="1">
      <alignment horizontal="center" vertical="center"/>
      <protection locked="0"/>
    </xf>
    <xf numFmtId="166" fontId="42" fillId="0" borderId="2" xfId="0" applyNumberFormat="1" applyFont="1" applyBorder="1" applyAlignment="1" applyProtection="1">
      <alignment horizontal="center" vertical="center"/>
      <protection locked="0"/>
    </xf>
    <xf numFmtId="0" fontId="42" fillId="0" borderId="2" xfId="0" applyFont="1" applyBorder="1" applyAlignment="1" applyProtection="1">
      <alignment horizontal="center" vertical="center"/>
      <protection locked="0"/>
    </xf>
    <xf numFmtId="0" fontId="22" fillId="24" borderId="2" xfId="0" applyFont="1" applyFill="1" applyBorder="1" applyAlignment="1">
      <alignment horizontal="center" vertical="center"/>
    </xf>
    <xf numFmtId="169" fontId="53" fillId="24" borderId="2" xfId="0" applyNumberFormat="1" applyFont="1" applyFill="1" applyBorder="1" applyAlignment="1">
      <alignment horizontal="center" vertical="center" wrapText="1"/>
    </xf>
    <xf numFmtId="3" fontId="21" fillId="0" borderId="2" xfId="0" applyNumberFormat="1" applyFont="1" applyBorder="1" applyAlignment="1">
      <alignment horizontal="center" vertical="center"/>
    </xf>
    <xf numFmtId="166" fontId="21" fillId="0" borderId="2" xfId="0" applyNumberFormat="1" applyFont="1" applyBorder="1" applyAlignment="1">
      <alignment horizontal="center" vertical="center"/>
    </xf>
    <xf numFmtId="165" fontId="21" fillId="0" borderId="2" xfId="0" applyNumberFormat="1" applyFont="1" applyBorder="1" applyAlignment="1">
      <alignment horizontal="center" vertical="center"/>
    </xf>
    <xf numFmtId="3" fontId="21" fillId="8" borderId="0" xfId="0" applyNumberFormat="1" applyFont="1" applyFill="1" applyAlignment="1">
      <alignment horizontal="center" vertical="center"/>
    </xf>
    <xf numFmtId="0" fontId="54" fillId="24" borderId="2" xfId="0" applyFont="1" applyFill="1" applyBorder="1" applyAlignment="1">
      <alignment horizontal="center" vertical="center"/>
    </xf>
    <xf numFmtId="0" fontId="54" fillId="16" borderId="2" xfId="0" applyFont="1" applyFill="1" applyBorder="1" applyAlignment="1">
      <alignment horizontal="center" vertical="center"/>
    </xf>
    <xf numFmtId="0" fontId="20" fillId="0" borderId="2" xfId="0" applyFont="1" applyBorder="1" applyAlignment="1" applyProtection="1">
      <alignment horizontal="center" vertical="center"/>
      <protection locked="0"/>
    </xf>
    <xf numFmtId="20" fontId="6" fillId="14" borderId="2" xfId="0" applyNumberFormat="1" applyFont="1" applyFill="1" applyBorder="1" applyAlignment="1" applyProtection="1">
      <alignment horizontal="center" vertical="center"/>
      <protection locked="0"/>
    </xf>
    <xf numFmtId="20" fontId="6" fillId="14" borderId="2" xfId="0" applyNumberFormat="1" applyFont="1" applyFill="1" applyBorder="1" applyAlignment="1" applyProtection="1">
      <alignment horizontal="center" vertical="center"/>
      <protection locked="0"/>
    </xf>
    <xf numFmtId="0" fontId="20" fillId="0" borderId="2" xfId="0" applyFont="1" applyBorder="1" applyAlignment="1" applyProtection="1">
      <alignment horizontal="center" vertical="center"/>
      <protection locked="0"/>
    </xf>
    <xf numFmtId="170" fontId="19" fillId="0" borderId="2" xfId="0" applyNumberFormat="1" applyFont="1" applyBorder="1" applyAlignment="1" applyProtection="1">
      <alignment horizontal="center" vertical="center"/>
      <protection locked="0"/>
    </xf>
    <xf numFmtId="20" fontId="6" fillId="14" borderId="2" xfId="0" applyNumberFormat="1" applyFont="1" applyFill="1" applyBorder="1" applyAlignment="1" applyProtection="1">
      <alignment horizontal="center" vertical="center"/>
      <protection locked="0"/>
    </xf>
    <xf numFmtId="0" fontId="20" fillId="0" borderId="2" xfId="0" applyFont="1" applyBorder="1" applyAlignment="1" applyProtection="1">
      <alignment horizontal="center" vertical="center"/>
      <protection locked="0"/>
    </xf>
    <xf numFmtId="0" fontId="20" fillId="0" borderId="2" xfId="0" applyFont="1" applyBorder="1" applyAlignment="1" applyProtection="1">
      <alignment horizontal="center" vertical="center"/>
      <protection locked="0"/>
    </xf>
    <xf numFmtId="20" fontId="6" fillId="14" borderId="2" xfId="0" applyNumberFormat="1" applyFont="1" applyFill="1" applyBorder="1" applyAlignment="1" applyProtection="1">
      <alignment horizontal="center" vertical="center"/>
      <protection locked="0"/>
    </xf>
    <xf numFmtId="0" fontId="20" fillId="0" borderId="2" xfId="0" applyFont="1" applyBorder="1" applyAlignment="1" applyProtection="1">
      <alignment horizontal="center" vertical="center"/>
      <protection locked="0"/>
    </xf>
    <xf numFmtId="20" fontId="6" fillId="14" borderId="2" xfId="0" applyNumberFormat="1" applyFont="1" applyFill="1" applyBorder="1" applyAlignment="1" applyProtection="1">
      <alignment horizontal="center" vertical="center"/>
      <protection locked="0"/>
    </xf>
    <xf numFmtId="0" fontId="20" fillId="0" borderId="2" xfId="0" applyFont="1" applyBorder="1" applyAlignment="1" applyProtection="1">
      <alignment horizontal="center" vertical="center"/>
      <protection locked="0"/>
    </xf>
    <xf numFmtId="20" fontId="6" fillId="14" borderId="2" xfId="0" applyNumberFormat="1" applyFont="1" applyFill="1" applyBorder="1" applyAlignment="1" applyProtection="1">
      <alignment horizontal="center" vertical="center"/>
      <protection locked="0"/>
    </xf>
    <xf numFmtId="20" fontId="6" fillId="14" borderId="2" xfId="0" applyNumberFormat="1" applyFont="1" applyFill="1" applyBorder="1" applyAlignment="1" applyProtection="1">
      <alignment horizontal="center" vertical="center"/>
      <protection locked="0"/>
    </xf>
    <xf numFmtId="0" fontId="20" fillId="0" borderId="2" xfId="0" applyFont="1" applyBorder="1" applyAlignment="1" applyProtection="1">
      <alignment horizontal="center" vertical="center"/>
      <protection locked="0"/>
    </xf>
    <xf numFmtId="0" fontId="20" fillId="0" borderId="2" xfId="0" applyFont="1" applyBorder="1" applyAlignment="1" applyProtection="1">
      <alignment horizontal="center" vertical="center"/>
      <protection locked="0"/>
    </xf>
    <xf numFmtId="20" fontId="6" fillId="14" borderId="2" xfId="0" applyNumberFormat="1" applyFont="1" applyFill="1" applyBorder="1" applyAlignment="1" applyProtection="1">
      <alignment horizontal="center" vertical="center"/>
      <protection locked="0"/>
    </xf>
    <xf numFmtId="0" fontId="20" fillId="0" borderId="2" xfId="0" applyFont="1" applyBorder="1" applyAlignment="1" applyProtection="1">
      <alignment horizontal="center" vertical="center"/>
      <protection locked="0"/>
    </xf>
    <xf numFmtId="20" fontId="6" fillId="14" borderId="2" xfId="0" applyNumberFormat="1" applyFont="1" applyFill="1" applyBorder="1" applyAlignment="1" applyProtection="1">
      <alignment horizontal="center" vertical="center"/>
      <protection locked="0"/>
    </xf>
    <xf numFmtId="0" fontId="20" fillId="0" borderId="2" xfId="0" applyFont="1" applyBorder="1" applyAlignment="1" applyProtection="1">
      <alignment horizontal="center" vertical="center"/>
      <protection locked="0"/>
    </xf>
    <xf numFmtId="20" fontId="6" fillId="14" borderId="2" xfId="0" applyNumberFormat="1" applyFont="1" applyFill="1" applyBorder="1" applyAlignment="1" applyProtection="1">
      <alignment horizontal="center" vertical="center"/>
      <protection locked="0"/>
    </xf>
    <xf numFmtId="20" fontId="6" fillId="14" borderId="2" xfId="0" applyNumberFormat="1" applyFont="1" applyFill="1" applyBorder="1" applyAlignment="1" applyProtection="1">
      <alignment horizontal="center" vertical="center"/>
      <protection locked="0"/>
    </xf>
    <xf numFmtId="0" fontId="20" fillId="0" borderId="2" xfId="0" applyFont="1" applyBorder="1" applyAlignment="1" applyProtection="1">
      <alignment horizontal="center" vertical="center"/>
      <protection locked="0"/>
    </xf>
    <xf numFmtId="0" fontId="32" fillId="21" borderId="2" xfId="0" applyFont="1" applyFill="1" applyBorder="1" applyAlignment="1" applyProtection="1">
      <alignment horizontal="center" vertical="center" wrapText="1"/>
      <protection locked="0"/>
    </xf>
    <xf numFmtId="0" fontId="20" fillId="0" borderId="2" xfId="0" applyFont="1" applyBorder="1" applyAlignment="1" applyProtection="1">
      <alignment horizontal="center" vertical="center"/>
      <protection locked="0"/>
    </xf>
    <xf numFmtId="20" fontId="6" fillId="14" borderId="2" xfId="0" applyNumberFormat="1" applyFont="1" applyFill="1" applyBorder="1" applyAlignment="1" applyProtection="1">
      <alignment horizontal="center" vertical="center"/>
      <protection locked="0"/>
    </xf>
    <xf numFmtId="0" fontId="20" fillId="0" borderId="2" xfId="0" applyFont="1" applyBorder="1" applyAlignment="1" applyProtection="1">
      <alignment horizontal="center" vertical="center"/>
      <protection locked="0"/>
    </xf>
    <xf numFmtId="20" fontId="6" fillId="14" borderId="2" xfId="0" applyNumberFormat="1" applyFont="1" applyFill="1" applyBorder="1" applyAlignment="1" applyProtection="1">
      <alignment horizontal="center" vertical="center"/>
      <protection locked="0"/>
    </xf>
    <xf numFmtId="0" fontId="20" fillId="0" borderId="2" xfId="0" applyFont="1" applyBorder="1" applyAlignment="1" applyProtection="1">
      <alignment horizontal="center" vertical="center"/>
      <protection locked="0"/>
    </xf>
    <xf numFmtId="20" fontId="6" fillId="14" borderId="2" xfId="0" applyNumberFormat="1" applyFont="1" applyFill="1" applyBorder="1" applyAlignment="1" applyProtection="1">
      <alignment horizontal="center" vertical="center"/>
      <protection locked="0"/>
    </xf>
    <xf numFmtId="165" fontId="0" fillId="0" borderId="0" xfId="0" applyNumberFormat="1"/>
    <xf numFmtId="166" fontId="19" fillId="0" borderId="50" xfId="0" applyNumberFormat="1" applyFont="1" applyBorder="1" applyAlignment="1" applyProtection="1">
      <alignment horizontal="center" vertical="center"/>
      <protection locked="0"/>
    </xf>
    <xf numFmtId="166" fontId="19" fillId="0" borderId="53" xfId="0" applyNumberFormat="1" applyFont="1" applyBorder="1" applyAlignment="1" applyProtection="1">
      <alignment horizontal="center" vertical="center"/>
      <protection locked="0"/>
    </xf>
    <xf numFmtId="166" fontId="19" fillId="0" borderId="46" xfId="0" applyNumberFormat="1" applyFont="1" applyBorder="1" applyAlignment="1" applyProtection="1">
      <alignment horizontal="center" vertical="center"/>
      <protection locked="0"/>
    </xf>
    <xf numFmtId="0" fontId="20" fillId="0" borderId="2" xfId="0" applyFont="1" applyBorder="1" applyAlignment="1" applyProtection="1">
      <alignment horizontal="center" vertical="center"/>
      <protection locked="0"/>
    </xf>
    <xf numFmtId="165" fontId="19" fillId="0" borderId="46" xfId="0" applyNumberFormat="1" applyFont="1" applyBorder="1" applyAlignment="1" applyProtection="1">
      <alignment horizontal="center" vertical="center"/>
      <protection locked="0"/>
    </xf>
    <xf numFmtId="165" fontId="19" fillId="0" borderId="50" xfId="0" applyNumberFormat="1" applyFont="1" applyBorder="1" applyAlignment="1" applyProtection="1">
      <alignment horizontal="center" vertical="center"/>
      <protection locked="0"/>
    </xf>
    <xf numFmtId="3" fontId="52" fillId="8" borderId="2" xfId="0" applyNumberFormat="1" applyFont="1" applyFill="1" applyBorder="1" applyAlignment="1">
      <alignment horizontal="center" vertical="center"/>
    </xf>
    <xf numFmtId="166" fontId="52" fillId="8" borderId="2" xfId="0" applyNumberFormat="1" applyFont="1" applyFill="1" applyBorder="1" applyAlignment="1">
      <alignment horizontal="center" vertical="center"/>
    </xf>
    <xf numFmtId="165" fontId="52" fillId="8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 applyProtection="1">
      <alignment horizontal="center" vertical="center"/>
      <protection locked="0"/>
    </xf>
    <xf numFmtId="20" fontId="6" fillId="14" borderId="2" xfId="0" applyNumberFormat="1" applyFont="1" applyFill="1" applyBorder="1" applyAlignment="1" applyProtection="1">
      <alignment horizontal="center" vertical="center"/>
      <protection locked="0"/>
    </xf>
    <xf numFmtId="0" fontId="20" fillId="0" borderId="2" xfId="0" applyFont="1" applyBorder="1" applyAlignment="1" applyProtection="1">
      <alignment horizontal="center" vertical="center"/>
      <protection locked="0"/>
    </xf>
    <xf numFmtId="3" fontId="21" fillId="17" borderId="2" xfId="0" applyNumberFormat="1" applyFont="1" applyFill="1" applyBorder="1" applyAlignment="1">
      <alignment horizontal="center" vertical="center"/>
    </xf>
    <xf numFmtId="166" fontId="21" fillId="17" borderId="2" xfId="0" applyNumberFormat="1" applyFont="1" applyFill="1" applyBorder="1" applyAlignment="1">
      <alignment horizontal="center" vertical="center"/>
    </xf>
    <xf numFmtId="165" fontId="21" fillId="17" borderId="2" xfId="0" applyNumberFormat="1" applyFont="1" applyFill="1" applyBorder="1" applyAlignment="1">
      <alignment horizontal="center" vertical="center"/>
    </xf>
    <xf numFmtId="3" fontId="52" fillId="9" borderId="2" xfId="0" applyNumberFormat="1" applyFont="1" applyFill="1" applyBorder="1" applyAlignment="1">
      <alignment horizontal="center" vertical="center"/>
    </xf>
    <xf numFmtId="3" fontId="21" fillId="0" borderId="2" xfId="0" applyNumberFormat="1" applyFont="1" applyBorder="1" applyAlignment="1">
      <alignment vertical="center"/>
    </xf>
    <xf numFmtId="0" fontId="20" fillId="0" borderId="2" xfId="0" applyFont="1" applyBorder="1" applyAlignment="1" applyProtection="1">
      <alignment horizontal="center" vertical="center"/>
      <protection locked="0"/>
    </xf>
    <xf numFmtId="0" fontId="20" fillId="0" borderId="2" xfId="0" applyFont="1" applyBorder="1" applyAlignment="1" applyProtection="1">
      <alignment horizontal="center" vertical="center"/>
      <protection locked="0"/>
    </xf>
    <xf numFmtId="20" fontId="0" fillId="0" borderId="0" xfId="0" applyNumberFormat="1"/>
    <xf numFmtId="0" fontId="20" fillId="0" borderId="2" xfId="0" applyFont="1" applyBorder="1" applyAlignment="1" applyProtection="1">
      <alignment horizontal="center" vertical="center"/>
      <protection locked="0"/>
    </xf>
    <xf numFmtId="20" fontId="6" fillId="14" borderId="2" xfId="0" applyNumberFormat="1" applyFont="1" applyFill="1" applyBorder="1" applyAlignment="1" applyProtection="1">
      <alignment horizontal="center" vertical="center"/>
      <protection locked="0"/>
    </xf>
    <xf numFmtId="0" fontId="20" fillId="0" borderId="2" xfId="0" applyFont="1" applyBorder="1" applyAlignment="1" applyProtection="1">
      <alignment horizontal="center" vertical="center"/>
      <protection locked="0"/>
    </xf>
    <xf numFmtId="0" fontId="20" fillId="0" borderId="2" xfId="0" applyFont="1" applyBorder="1" applyAlignment="1" applyProtection="1">
      <alignment horizontal="center" vertical="center"/>
      <protection locked="0"/>
    </xf>
    <xf numFmtId="20" fontId="6" fillId="14" borderId="2" xfId="0" applyNumberFormat="1" applyFont="1" applyFill="1" applyBorder="1" applyAlignment="1" applyProtection="1">
      <alignment horizontal="center" vertical="center"/>
      <protection locked="0"/>
    </xf>
    <xf numFmtId="0" fontId="20" fillId="0" borderId="2" xfId="0" applyFont="1" applyBorder="1" applyAlignment="1" applyProtection="1">
      <alignment horizontal="center" vertical="center"/>
      <protection locked="0"/>
    </xf>
    <xf numFmtId="3" fontId="21" fillId="0" borderId="7" xfId="0" applyNumberFormat="1" applyFont="1" applyBorder="1" applyAlignment="1">
      <alignment vertical="center"/>
    </xf>
    <xf numFmtId="0" fontId="20" fillId="0" borderId="2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3" fontId="21" fillId="17" borderId="7" xfId="0" applyNumberFormat="1" applyFont="1" applyFill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1" fontId="21" fillId="17" borderId="2" xfId="0" applyNumberFormat="1" applyFont="1" applyFill="1" applyBorder="1" applyAlignment="1">
      <alignment horizontal="center" vertical="center"/>
    </xf>
    <xf numFmtId="1" fontId="52" fillId="8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68" xfId="0" applyFont="1" applyBorder="1" applyAlignment="1" applyProtection="1">
      <alignment horizontal="center" vertical="center"/>
      <protection locked="0"/>
    </xf>
    <xf numFmtId="0" fontId="4" fillId="0" borderId="69" xfId="0" applyFont="1" applyBorder="1" applyAlignment="1" applyProtection="1">
      <alignment horizontal="center" vertical="center"/>
      <protection locked="0"/>
    </xf>
    <xf numFmtId="0" fontId="4" fillId="0" borderId="19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8" fillId="7" borderId="7" xfId="7" applyFont="1" applyBorder="1" applyAlignment="1" applyProtection="1">
      <alignment horizontal="center" vertical="center" readingOrder="2"/>
      <protection locked="0"/>
    </xf>
    <xf numFmtId="0" fontId="8" fillId="7" borderId="8" xfId="7" applyFont="1" applyBorder="1" applyAlignment="1" applyProtection="1">
      <alignment horizontal="center" vertical="center" readingOrder="2"/>
      <protection locked="0"/>
    </xf>
    <xf numFmtId="0" fontId="9" fillId="17" borderId="7" xfId="7" applyFont="1" applyFill="1" applyBorder="1" applyAlignment="1" applyProtection="1">
      <alignment horizontal="center" vertical="center" readingOrder="2"/>
      <protection locked="0"/>
    </xf>
    <xf numFmtId="0" fontId="9" fillId="17" borderId="8" xfId="7" applyFont="1" applyFill="1" applyBorder="1" applyAlignment="1" applyProtection="1">
      <alignment horizontal="center" vertical="center" readingOrder="2"/>
      <protection locked="0"/>
    </xf>
    <xf numFmtId="0" fontId="9" fillId="17" borderId="9" xfId="7" applyFont="1" applyFill="1" applyBorder="1" applyAlignment="1" applyProtection="1">
      <alignment horizontal="center" vertical="center" readingOrder="2"/>
      <protection locked="0"/>
    </xf>
    <xf numFmtId="0" fontId="8" fillId="7" borderId="10" xfId="7" applyFont="1" applyBorder="1" applyAlignment="1" applyProtection="1">
      <alignment horizontal="center" vertical="center"/>
      <protection locked="0"/>
    </xf>
    <xf numFmtId="0" fontId="8" fillId="7" borderId="11" xfId="7" applyFont="1" applyBorder="1" applyAlignment="1" applyProtection="1">
      <alignment horizontal="center" vertical="center"/>
      <protection locked="0"/>
    </xf>
    <xf numFmtId="0" fontId="8" fillId="7" borderId="12" xfId="7" applyFont="1" applyBorder="1" applyAlignment="1" applyProtection="1">
      <alignment horizontal="center" vertical="center"/>
      <protection locked="0"/>
    </xf>
    <xf numFmtId="0" fontId="10" fillId="17" borderId="13" xfId="7" applyFont="1" applyFill="1" applyBorder="1" applyAlignment="1" applyProtection="1">
      <alignment horizontal="center" vertical="center"/>
      <protection locked="0"/>
    </xf>
    <xf numFmtId="0" fontId="10" fillId="17" borderId="14" xfId="7" applyFont="1" applyFill="1" applyBorder="1" applyAlignment="1" applyProtection="1">
      <alignment horizontal="center" vertical="center"/>
      <protection locked="0"/>
    </xf>
    <xf numFmtId="0" fontId="10" fillId="17" borderId="15" xfId="7" applyFont="1" applyFill="1" applyBorder="1" applyAlignment="1" applyProtection="1">
      <alignment horizontal="center" vertical="center"/>
      <protection locked="0"/>
    </xf>
    <xf numFmtId="0" fontId="8" fillId="7" borderId="16" xfId="7" applyFont="1" applyBorder="1" applyAlignment="1" applyProtection="1">
      <alignment horizontal="center" vertical="center"/>
      <protection locked="0"/>
    </xf>
    <xf numFmtId="0" fontId="8" fillId="7" borderId="17" xfId="7" applyFont="1" applyBorder="1" applyAlignment="1" applyProtection="1">
      <alignment horizontal="center" vertical="center"/>
      <protection locked="0"/>
    </xf>
    <xf numFmtId="0" fontId="8" fillId="7" borderId="18" xfId="7" applyFont="1" applyBorder="1" applyAlignment="1" applyProtection="1">
      <alignment horizontal="center" vertical="center"/>
      <protection locked="0"/>
    </xf>
    <xf numFmtId="0" fontId="10" fillId="17" borderId="2" xfId="7" applyFont="1" applyFill="1" applyBorder="1" applyAlignment="1" applyProtection="1">
      <alignment horizontal="center" vertical="center"/>
      <protection locked="0"/>
    </xf>
    <xf numFmtId="0" fontId="11" fillId="7" borderId="10" xfId="7" applyFont="1" applyBorder="1" applyAlignment="1" applyProtection="1">
      <alignment horizontal="center" vertical="center"/>
      <protection locked="0"/>
    </xf>
    <xf numFmtId="0" fontId="11" fillId="7" borderId="11" xfId="7" applyFont="1" applyBorder="1" applyAlignment="1" applyProtection="1">
      <alignment horizontal="center" vertical="center"/>
      <protection locked="0"/>
    </xf>
    <xf numFmtId="0" fontId="11" fillId="7" borderId="12" xfId="7" applyFont="1" applyBorder="1" applyAlignment="1" applyProtection="1">
      <alignment horizontal="center" vertical="center"/>
      <protection locked="0"/>
    </xf>
    <xf numFmtId="164" fontId="12" fillId="2" borderId="16" xfId="1" applyNumberFormat="1" applyFont="1" applyFill="1" applyBorder="1" applyAlignment="1" applyProtection="1">
      <alignment horizontal="center" vertical="center"/>
      <protection locked="0"/>
    </xf>
    <xf numFmtId="164" fontId="12" fillId="2" borderId="17" xfId="1" applyNumberFormat="1" applyFont="1" applyFill="1" applyBorder="1" applyAlignment="1" applyProtection="1">
      <alignment horizontal="center" vertical="center"/>
      <protection locked="0"/>
    </xf>
    <xf numFmtId="164" fontId="12" fillId="2" borderId="18" xfId="1" applyNumberFormat="1" applyFont="1" applyFill="1" applyBorder="1" applyAlignment="1" applyProtection="1">
      <alignment horizontal="center" vertical="center"/>
      <protection locked="0"/>
    </xf>
    <xf numFmtId="0" fontId="16" fillId="13" borderId="39" xfId="0" applyFont="1" applyFill="1" applyBorder="1" applyAlignment="1" applyProtection="1">
      <alignment horizontal="center" vertical="center" wrapText="1"/>
      <protection locked="0"/>
    </xf>
    <xf numFmtId="0" fontId="16" fillId="13" borderId="43" xfId="0" applyFont="1" applyFill="1" applyBorder="1" applyAlignment="1" applyProtection="1">
      <alignment horizontal="center" vertical="center" wrapText="1"/>
      <protection locked="0"/>
    </xf>
    <xf numFmtId="164" fontId="13" fillId="2" borderId="2" xfId="1" applyNumberFormat="1" applyFont="1" applyFill="1" applyBorder="1" applyAlignment="1" applyProtection="1">
      <alignment horizontal="center" vertical="center"/>
    </xf>
    <xf numFmtId="0" fontId="8" fillId="7" borderId="9" xfId="7" applyFont="1" applyBorder="1" applyAlignment="1" applyProtection="1">
      <alignment horizontal="center" vertical="center" readingOrder="2"/>
      <protection locked="0"/>
    </xf>
    <xf numFmtId="164" fontId="12" fillId="2" borderId="2" xfId="1" applyNumberFormat="1" applyFont="1" applyFill="1" applyBorder="1" applyAlignment="1" applyProtection="1">
      <alignment horizontal="center" vertical="center"/>
      <protection locked="0"/>
    </xf>
    <xf numFmtId="0" fontId="11" fillId="7" borderId="22" xfId="7" applyFont="1" applyBorder="1" applyAlignment="1" applyProtection="1">
      <alignment horizontal="center" vertical="center"/>
      <protection locked="0"/>
    </xf>
    <xf numFmtId="164" fontId="12" fillId="2" borderId="23" xfId="1" applyNumberFormat="1" applyFont="1" applyFill="1" applyBorder="1" applyAlignment="1" applyProtection="1">
      <alignment horizontal="center" vertical="center"/>
      <protection locked="0"/>
    </xf>
    <xf numFmtId="164" fontId="12" fillId="2" borderId="24" xfId="1" applyNumberFormat="1" applyFont="1" applyFill="1" applyBorder="1" applyAlignment="1" applyProtection="1">
      <alignment horizontal="center" vertical="center"/>
      <protection locked="0"/>
    </xf>
    <xf numFmtId="164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4" fillId="11" borderId="26" xfId="0" applyFont="1" applyFill="1" applyBorder="1" applyAlignment="1" applyProtection="1">
      <alignment horizontal="center" vertical="center"/>
      <protection locked="0"/>
    </xf>
    <xf numFmtId="0" fontId="14" fillId="11" borderId="21" xfId="0" applyFont="1" applyFill="1" applyBorder="1" applyAlignment="1" applyProtection="1">
      <alignment horizontal="center" vertical="center"/>
      <protection locked="0"/>
    </xf>
    <xf numFmtId="0" fontId="14" fillId="11" borderId="20" xfId="0" applyFont="1" applyFill="1" applyBorder="1" applyAlignment="1" applyProtection="1">
      <alignment horizontal="center" vertical="center"/>
      <protection locked="0"/>
    </xf>
    <xf numFmtId="0" fontId="15" fillId="11" borderId="39" xfId="0" applyFont="1" applyFill="1" applyBorder="1" applyAlignment="1" applyProtection="1">
      <alignment horizontal="center" vertical="center" wrapText="1"/>
      <protection locked="0"/>
    </xf>
    <xf numFmtId="0" fontId="15" fillId="11" borderId="43" xfId="0" applyFont="1" applyFill="1" applyBorder="1" applyAlignment="1" applyProtection="1">
      <alignment horizontal="center" vertical="center" wrapText="1"/>
      <protection locked="0"/>
    </xf>
    <xf numFmtId="0" fontId="15" fillId="11" borderId="40" xfId="0" applyFont="1" applyFill="1" applyBorder="1" applyAlignment="1" applyProtection="1">
      <alignment horizontal="center" vertical="center"/>
      <protection locked="0"/>
    </xf>
    <xf numFmtId="0" fontId="15" fillId="11" borderId="44" xfId="0" applyFont="1" applyFill="1" applyBorder="1" applyAlignment="1" applyProtection="1">
      <alignment horizontal="center" vertical="center"/>
      <protection locked="0"/>
    </xf>
    <xf numFmtId="0" fontId="14" fillId="10" borderId="26" xfId="0" applyFont="1" applyFill="1" applyBorder="1" applyAlignment="1" applyProtection="1">
      <alignment horizontal="center" vertical="center"/>
      <protection locked="0"/>
    </xf>
    <xf numFmtId="0" fontId="14" fillId="10" borderId="21" xfId="0" applyFont="1" applyFill="1" applyBorder="1" applyAlignment="1" applyProtection="1">
      <alignment horizontal="center" vertical="center"/>
      <protection locked="0"/>
    </xf>
    <xf numFmtId="0" fontId="14" fillId="10" borderId="27" xfId="0" applyFont="1" applyFill="1" applyBorder="1" applyAlignment="1" applyProtection="1">
      <alignment horizontal="center" vertical="center"/>
      <protection locked="0"/>
    </xf>
    <xf numFmtId="0" fontId="14" fillId="10" borderId="28" xfId="0" applyFont="1" applyFill="1" applyBorder="1" applyAlignment="1" applyProtection="1">
      <alignment horizontal="center" vertical="center"/>
      <protection locked="0"/>
    </xf>
    <xf numFmtId="0" fontId="15" fillId="11" borderId="26" xfId="0" applyFont="1" applyFill="1" applyBorder="1" applyAlignment="1" applyProtection="1">
      <alignment horizontal="center" vertical="center"/>
      <protection locked="0"/>
    </xf>
    <xf numFmtId="0" fontId="15" fillId="11" borderId="20" xfId="0" applyFont="1" applyFill="1" applyBorder="1" applyAlignment="1" applyProtection="1">
      <alignment horizontal="center" vertical="center"/>
      <protection locked="0"/>
    </xf>
    <xf numFmtId="0" fontId="14" fillId="12" borderId="29" xfId="0" applyFont="1" applyFill="1" applyBorder="1" applyAlignment="1" applyProtection="1">
      <alignment horizontal="center" vertical="center"/>
      <protection locked="0"/>
    </xf>
    <xf numFmtId="0" fontId="14" fillId="12" borderId="30" xfId="0" applyFont="1" applyFill="1" applyBorder="1" applyAlignment="1" applyProtection="1">
      <alignment horizontal="center" vertical="center"/>
      <protection locked="0"/>
    </xf>
    <xf numFmtId="0" fontId="14" fillId="13" borderId="26" xfId="0" applyFont="1" applyFill="1" applyBorder="1" applyAlignment="1" applyProtection="1">
      <alignment horizontal="center" vertical="center"/>
      <protection locked="0"/>
    </xf>
    <xf numFmtId="0" fontId="14" fillId="13" borderId="21" xfId="0" applyFont="1" applyFill="1" applyBorder="1" applyAlignment="1" applyProtection="1">
      <alignment horizontal="center" vertical="center"/>
      <protection locked="0"/>
    </xf>
    <xf numFmtId="0" fontId="14" fillId="13" borderId="31" xfId="0" applyFont="1" applyFill="1" applyBorder="1" applyAlignment="1" applyProtection="1">
      <alignment horizontal="center" vertical="center"/>
      <protection locked="0"/>
    </xf>
    <xf numFmtId="0" fontId="14" fillId="14" borderId="33" xfId="0" applyFont="1" applyFill="1" applyBorder="1" applyAlignment="1" applyProtection="1">
      <alignment horizontal="center" vertical="center"/>
      <protection locked="0"/>
    </xf>
    <xf numFmtId="0" fontId="14" fillId="14" borderId="32" xfId="0" applyFont="1" applyFill="1" applyBorder="1" applyAlignment="1" applyProtection="1">
      <alignment horizontal="center" vertical="center"/>
      <protection locked="0"/>
    </xf>
    <xf numFmtId="0" fontId="14" fillId="15" borderId="35" xfId="0" applyFont="1" applyFill="1" applyBorder="1" applyAlignment="1" applyProtection="1">
      <alignment horizontal="center" vertical="center"/>
      <protection locked="0"/>
    </xf>
    <xf numFmtId="0" fontId="14" fillId="15" borderId="36" xfId="0" applyFont="1" applyFill="1" applyBorder="1" applyAlignment="1" applyProtection="1">
      <alignment horizontal="center" vertical="center"/>
      <protection locked="0"/>
    </xf>
    <xf numFmtId="0" fontId="14" fillId="15" borderId="37" xfId="0" applyFont="1" applyFill="1" applyBorder="1" applyAlignment="1" applyProtection="1">
      <alignment horizontal="center" vertical="center"/>
      <protection locked="0"/>
    </xf>
    <xf numFmtId="0" fontId="18" fillId="8" borderId="39" xfId="0" applyFont="1" applyFill="1" applyBorder="1" applyAlignment="1" applyProtection="1">
      <alignment horizontal="center" vertical="center" textRotation="90"/>
      <protection locked="0"/>
    </xf>
    <xf numFmtId="0" fontId="18" fillId="8" borderId="51" xfId="0" applyFont="1" applyFill="1" applyBorder="1" applyAlignment="1" applyProtection="1">
      <alignment horizontal="center" vertical="center" textRotation="90"/>
      <protection locked="0"/>
    </xf>
    <xf numFmtId="0" fontId="18" fillId="9" borderId="2" xfId="0" applyFont="1" applyFill="1" applyBorder="1" applyAlignment="1" applyProtection="1">
      <alignment horizontal="center" vertical="center" textRotation="90"/>
      <protection locked="0"/>
    </xf>
    <xf numFmtId="0" fontId="18" fillId="22" borderId="51" xfId="0" applyFont="1" applyFill="1" applyBorder="1" applyAlignment="1" applyProtection="1">
      <alignment horizontal="center" vertical="center" textRotation="90" wrapText="1"/>
      <protection locked="0"/>
    </xf>
    <xf numFmtId="0" fontId="18" fillId="22" borderId="67" xfId="0" applyFont="1" applyFill="1" applyBorder="1" applyAlignment="1" applyProtection="1">
      <alignment horizontal="center" vertical="center" textRotation="90" wrapText="1"/>
      <protection locked="0"/>
    </xf>
    <xf numFmtId="0" fontId="15" fillId="10" borderId="38" xfId="0" applyFont="1" applyFill="1" applyBorder="1" applyAlignment="1" applyProtection="1">
      <alignment horizontal="center" vertical="center" textRotation="90" wrapText="1"/>
      <protection locked="0"/>
    </xf>
    <xf numFmtId="0" fontId="15" fillId="10" borderId="42" xfId="0" applyFont="1" applyFill="1" applyBorder="1" applyAlignment="1" applyProtection="1">
      <alignment horizontal="center" vertical="center" textRotation="90" wrapText="1"/>
      <protection locked="0"/>
    </xf>
    <xf numFmtId="0" fontId="15" fillId="10" borderId="39" xfId="0" applyFont="1" applyFill="1" applyBorder="1" applyAlignment="1" applyProtection="1">
      <alignment horizontal="center" vertical="center" wrapText="1"/>
      <protection locked="0"/>
    </xf>
    <xf numFmtId="0" fontId="15" fillId="10" borderId="43" xfId="0" applyFont="1" applyFill="1" applyBorder="1" applyAlignment="1" applyProtection="1">
      <alignment horizontal="center" vertical="center" wrapText="1"/>
      <protection locked="0"/>
    </xf>
    <xf numFmtId="0" fontId="15" fillId="10" borderId="40" xfId="0" applyFont="1" applyFill="1" applyBorder="1" applyAlignment="1" applyProtection="1">
      <alignment horizontal="center" vertical="center" wrapText="1"/>
      <protection locked="0"/>
    </xf>
    <xf numFmtId="0" fontId="15" fillId="10" borderId="44" xfId="0" applyFont="1" applyFill="1" applyBorder="1" applyAlignment="1" applyProtection="1">
      <alignment horizontal="center" vertical="center" wrapText="1"/>
      <protection locked="0"/>
    </xf>
    <xf numFmtId="0" fontId="15" fillId="11" borderId="38" xfId="0" applyFont="1" applyFill="1" applyBorder="1" applyAlignment="1" applyProtection="1">
      <alignment horizontal="center" vertical="center" wrapText="1"/>
      <protection locked="0"/>
    </xf>
    <xf numFmtId="0" fontId="15" fillId="11" borderId="42" xfId="0" applyFont="1" applyFill="1" applyBorder="1" applyAlignment="1" applyProtection="1">
      <alignment horizontal="center" vertical="center" wrapText="1"/>
      <protection locked="0"/>
    </xf>
    <xf numFmtId="0" fontId="25" fillId="18" borderId="2" xfId="0" applyFont="1" applyFill="1" applyBorder="1" applyAlignment="1" applyProtection="1">
      <alignment horizontal="center" vertical="center"/>
      <protection locked="0"/>
    </xf>
    <xf numFmtId="0" fontId="26" fillId="19" borderId="2" xfId="0" applyFont="1" applyFill="1" applyBorder="1" applyAlignment="1" applyProtection="1">
      <alignment horizontal="center" vertical="center"/>
      <protection locked="0"/>
    </xf>
    <xf numFmtId="0" fontId="26" fillId="14" borderId="57" xfId="0" applyFont="1" applyFill="1" applyBorder="1" applyAlignment="1" applyProtection="1">
      <alignment horizontal="center" vertical="center"/>
      <protection locked="0"/>
    </xf>
    <xf numFmtId="0" fontId="26" fillId="14" borderId="58" xfId="0" applyFont="1" applyFill="1" applyBorder="1" applyAlignment="1" applyProtection="1">
      <alignment horizontal="center" vertical="center"/>
      <protection locked="0"/>
    </xf>
    <xf numFmtId="0" fontId="26" fillId="14" borderId="59" xfId="0" applyFont="1" applyFill="1" applyBorder="1" applyAlignment="1" applyProtection="1">
      <alignment horizontal="center" vertical="center"/>
      <protection locked="0"/>
    </xf>
    <xf numFmtId="0" fontId="14" fillId="15" borderId="39" xfId="0" applyFont="1" applyFill="1" applyBorder="1" applyAlignment="1" applyProtection="1">
      <alignment horizontal="center" vertical="center" wrapText="1"/>
      <protection locked="0"/>
    </xf>
    <xf numFmtId="0" fontId="14" fillId="15" borderId="43" xfId="0" applyFont="1" applyFill="1" applyBorder="1" applyAlignment="1" applyProtection="1">
      <alignment horizontal="center" vertical="center" wrapText="1"/>
      <protection locked="0"/>
    </xf>
    <xf numFmtId="0" fontId="14" fillId="15" borderId="40" xfId="0" applyFont="1" applyFill="1" applyBorder="1" applyAlignment="1" applyProtection="1">
      <alignment horizontal="center" vertical="center" wrapText="1"/>
      <protection locked="0"/>
    </xf>
    <xf numFmtId="0" fontId="14" fillId="15" borderId="44" xfId="0" applyFont="1" applyFill="1" applyBorder="1" applyAlignment="1" applyProtection="1">
      <alignment horizontal="center" vertical="center" wrapText="1"/>
      <protection locked="0"/>
    </xf>
    <xf numFmtId="0" fontId="16" fillId="13" borderId="39" xfId="0" applyFont="1" applyFill="1" applyBorder="1" applyAlignment="1" applyProtection="1">
      <alignment horizontal="center" vertical="center"/>
      <protection locked="0"/>
    </xf>
    <xf numFmtId="0" fontId="16" fillId="13" borderId="43" xfId="0" applyFont="1" applyFill="1" applyBorder="1" applyAlignment="1" applyProtection="1">
      <alignment horizontal="center" vertical="center"/>
      <protection locked="0"/>
    </xf>
    <xf numFmtId="0" fontId="14" fillId="13" borderId="39" xfId="0" applyFont="1" applyFill="1" applyBorder="1" applyAlignment="1" applyProtection="1">
      <alignment horizontal="center" vertical="center" wrapText="1"/>
      <protection locked="0"/>
    </xf>
    <xf numFmtId="0" fontId="14" fillId="13" borderId="43" xfId="0" applyFont="1" applyFill="1" applyBorder="1" applyAlignment="1" applyProtection="1">
      <alignment horizontal="center" vertical="center" wrapText="1"/>
      <protection locked="0"/>
    </xf>
    <xf numFmtId="0" fontId="15" fillId="14" borderId="7" xfId="0" applyFont="1" applyFill="1" applyBorder="1" applyAlignment="1" applyProtection="1">
      <alignment horizontal="center" vertical="center"/>
      <protection locked="0"/>
    </xf>
    <xf numFmtId="0" fontId="15" fillId="14" borderId="8" xfId="0" applyFont="1" applyFill="1" applyBorder="1" applyAlignment="1" applyProtection="1">
      <alignment horizontal="center" vertical="center"/>
      <protection locked="0"/>
    </xf>
    <xf numFmtId="0" fontId="15" fillId="14" borderId="9" xfId="0" applyFont="1" applyFill="1" applyBorder="1" applyAlignment="1" applyProtection="1">
      <alignment horizontal="center" vertical="center"/>
      <protection locked="0"/>
    </xf>
    <xf numFmtId="0" fontId="15" fillId="11" borderId="40" xfId="0" applyFont="1" applyFill="1" applyBorder="1" applyAlignment="1" applyProtection="1">
      <alignment horizontal="center" vertical="center" wrapText="1"/>
      <protection locked="0"/>
    </xf>
    <xf numFmtId="0" fontId="15" fillId="11" borderId="44" xfId="0" applyFont="1" applyFill="1" applyBorder="1" applyAlignment="1" applyProtection="1">
      <alignment horizontal="center" vertical="center" wrapText="1"/>
      <protection locked="0"/>
    </xf>
    <xf numFmtId="0" fontId="15" fillId="12" borderId="41" xfId="0" applyFont="1" applyFill="1" applyBorder="1" applyAlignment="1" applyProtection="1">
      <alignment horizontal="center" vertical="center" wrapText="1"/>
      <protection locked="0"/>
    </xf>
    <xf numFmtId="0" fontId="15" fillId="12" borderId="45" xfId="0" applyFont="1" applyFill="1" applyBorder="1" applyAlignment="1" applyProtection="1">
      <alignment horizontal="center" vertical="center" wrapText="1"/>
      <protection locked="0"/>
    </xf>
    <xf numFmtId="0" fontId="16" fillId="13" borderId="38" xfId="0" applyFont="1" applyFill="1" applyBorder="1" applyAlignment="1" applyProtection="1">
      <alignment horizontal="center" vertical="center" wrapText="1"/>
      <protection locked="0"/>
    </xf>
    <xf numFmtId="0" fontId="16" fillId="13" borderId="42" xfId="0" applyFont="1" applyFill="1" applyBorder="1" applyAlignment="1" applyProtection="1">
      <alignment horizontal="center" vertical="center" wrapText="1"/>
      <protection locked="0"/>
    </xf>
    <xf numFmtId="1" fontId="20" fillId="21" borderId="7" xfId="5" applyNumberFormat="1" applyFont="1" applyFill="1" applyBorder="1" applyAlignment="1" applyProtection="1">
      <alignment horizontal="center" vertical="center" wrapText="1"/>
      <protection locked="0"/>
    </xf>
    <xf numFmtId="1" fontId="20" fillId="21" borderId="9" xfId="5" applyNumberFormat="1" applyFont="1" applyFill="1" applyBorder="1" applyAlignment="1" applyProtection="1">
      <alignment horizontal="center" vertical="center" wrapText="1"/>
      <protection locked="0"/>
    </xf>
    <xf numFmtId="20" fontId="29" fillId="2" borderId="10" xfId="2" applyNumberFormat="1" applyFont="1" applyBorder="1" applyAlignment="1" applyProtection="1">
      <alignment horizontal="center" vertical="center" wrapText="1"/>
      <protection locked="0"/>
    </xf>
    <xf numFmtId="20" fontId="29" fillId="2" borderId="12" xfId="2" applyNumberFormat="1" applyFont="1" applyBorder="1" applyAlignment="1" applyProtection="1">
      <alignment horizontal="center" vertical="center" wrapText="1"/>
      <protection locked="0"/>
    </xf>
    <xf numFmtId="20" fontId="29" fillId="2" borderId="7" xfId="2" applyNumberFormat="1" applyFont="1" applyBorder="1" applyAlignment="1" applyProtection="1">
      <alignment horizontal="center" vertical="center" wrapText="1"/>
      <protection locked="0"/>
    </xf>
    <xf numFmtId="20" fontId="29" fillId="2" borderId="9" xfId="2" applyNumberFormat="1" applyFont="1" applyBorder="1" applyAlignment="1" applyProtection="1">
      <alignment horizontal="center" vertical="center" wrapText="1"/>
      <protection locked="0"/>
    </xf>
    <xf numFmtId="0" fontId="33" fillId="2" borderId="2" xfId="2" applyFont="1" applyBorder="1" applyAlignment="1" applyProtection="1">
      <alignment horizontal="center" vertical="center" wrapText="1" readingOrder="2"/>
      <protection locked="0"/>
    </xf>
    <xf numFmtId="0" fontId="36" fillId="16" borderId="7" xfId="2" applyFont="1" applyFill="1" applyBorder="1" applyAlignment="1" applyProtection="1">
      <alignment horizontal="center" vertical="center"/>
      <protection locked="0"/>
    </xf>
    <xf numFmtId="0" fontId="36" fillId="16" borderId="8" xfId="2" applyFont="1" applyFill="1" applyBorder="1" applyAlignment="1" applyProtection="1">
      <alignment horizontal="center" vertical="center"/>
      <protection locked="0"/>
    </xf>
    <xf numFmtId="0" fontId="36" fillId="16" borderId="9" xfId="2" applyFont="1" applyFill="1" applyBorder="1" applyAlignment="1" applyProtection="1">
      <alignment horizontal="center" vertical="center"/>
      <protection locked="0"/>
    </xf>
    <xf numFmtId="1" fontId="37" fillId="2" borderId="7" xfId="2" applyNumberFormat="1" applyFont="1" applyBorder="1" applyAlignment="1" applyProtection="1">
      <alignment horizontal="center" vertical="center" wrapText="1"/>
      <protection locked="0"/>
    </xf>
    <xf numFmtId="1" fontId="37" fillId="2" borderId="9" xfId="2" applyNumberFormat="1" applyFont="1" applyBorder="1" applyAlignment="1" applyProtection="1">
      <alignment horizontal="center" vertical="center" wrapText="1"/>
      <protection locked="0"/>
    </xf>
    <xf numFmtId="0" fontId="4" fillId="3" borderId="8" xfId="3" applyFont="1" applyBorder="1" applyAlignment="1" applyProtection="1">
      <alignment horizontal="center" vertical="center"/>
      <protection locked="0"/>
    </xf>
    <xf numFmtId="0" fontId="7" fillId="3" borderId="8" xfId="3" applyBorder="1" applyAlignment="1" applyProtection="1">
      <alignment horizontal="center" vertical="center"/>
      <protection locked="0"/>
    </xf>
    <xf numFmtId="0" fontId="29" fillId="14" borderId="7" xfId="2" applyFont="1" applyFill="1" applyBorder="1" applyAlignment="1" applyProtection="1">
      <alignment horizontal="center" vertical="center" wrapText="1"/>
      <protection locked="0"/>
    </xf>
    <xf numFmtId="0" fontId="29" fillId="14" borderId="9" xfId="2" applyFont="1" applyFill="1" applyBorder="1" applyAlignment="1" applyProtection="1">
      <alignment horizontal="center" vertical="center" wrapText="1"/>
      <protection locked="0"/>
    </xf>
    <xf numFmtId="0" fontId="30" fillId="14" borderId="7" xfId="2" applyFont="1" applyFill="1" applyBorder="1" applyAlignment="1" applyProtection="1">
      <alignment horizontal="center" vertical="center" wrapText="1"/>
      <protection locked="0"/>
    </xf>
    <xf numFmtId="0" fontId="30" fillId="14" borderId="9" xfId="2" applyFont="1" applyFill="1" applyBorder="1" applyAlignment="1" applyProtection="1">
      <alignment horizontal="center" vertical="center" wrapText="1"/>
      <protection locked="0"/>
    </xf>
    <xf numFmtId="20" fontId="29" fillId="2" borderId="64" xfId="2" applyNumberFormat="1" applyFont="1" applyBorder="1" applyAlignment="1" applyProtection="1">
      <alignment horizontal="center" vertical="center" wrapText="1"/>
      <protection locked="0"/>
    </xf>
    <xf numFmtId="20" fontId="29" fillId="2" borderId="25" xfId="2" applyNumberFormat="1" applyFont="1" applyBorder="1" applyAlignment="1" applyProtection="1">
      <alignment horizontal="center" vertical="center" wrapText="1"/>
      <protection locked="0"/>
    </xf>
    <xf numFmtId="3" fontId="34" fillId="10" borderId="16" xfId="2" applyNumberFormat="1" applyFont="1" applyFill="1" applyBorder="1" applyAlignment="1" applyProtection="1">
      <alignment horizontal="center" vertical="center" wrapText="1"/>
      <protection locked="0"/>
    </xf>
    <xf numFmtId="3" fontId="34" fillId="10" borderId="17" xfId="2" applyNumberFormat="1" applyFont="1" applyFill="1" applyBorder="1" applyAlignment="1" applyProtection="1">
      <alignment horizontal="center" vertical="center" wrapText="1"/>
      <protection locked="0"/>
    </xf>
    <xf numFmtId="3" fontId="34" fillId="10" borderId="2" xfId="2" applyNumberFormat="1" applyFont="1" applyFill="1" applyBorder="1" applyAlignment="1" applyProtection="1">
      <alignment horizontal="center" vertical="center" wrapText="1"/>
      <protection locked="0"/>
    </xf>
    <xf numFmtId="3" fontId="35" fillId="4" borderId="8" xfId="4" applyNumberFormat="1" applyFont="1" applyBorder="1" applyAlignment="1" applyProtection="1">
      <alignment horizontal="center" vertical="center" wrapText="1"/>
      <protection locked="0"/>
    </xf>
    <xf numFmtId="0" fontId="4" fillId="6" borderId="7" xfId="6" applyFont="1" applyBorder="1" applyAlignment="1" applyProtection="1">
      <alignment horizontal="center" vertical="center"/>
      <protection locked="0"/>
    </xf>
    <xf numFmtId="0" fontId="4" fillId="6" borderId="60" xfId="6" applyFont="1" applyBorder="1" applyAlignment="1" applyProtection="1">
      <alignment horizontal="center" vertical="center"/>
      <protection locked="0"/>
    </xf>
    <xf numFmtId="0" fontId="27" fillId="6" borderId="61" xfId="6" applyFont="1" applyBorder="1" applyAlignment="1" applyProtection="1">
      <alignment horizontal="center" vertical="center"/>
      <protection locked="0"/>
    </xf>
    <xf numFmtId="0" fontId="27" fillId="6" borderId="62" xfId="6" applyFont="1" applyBorder="1" applyAlignment="1" applyProtection="1">
      <alignment horizontal="center" vertical="center"/>
      <protection locked="0"/>
    </xf>
    <xf numFmtId="0" fontId="4" fillId="6" borderId="2" xfId="6" applyFont="1" applyBorder="1" applyAlignment="1" applyProtection="1">
      <alignment horizontal="center" vertical="center" readingOrder="1"/>
      <protection locked="0"/>
    </xf>
    <xf numFmtId="0" fontId="5" fillId="8" borderId="64" xfId="6" applyFont="1" applyFill="1" applyBorder="1" applyAlignment="1" applyProtection="1">
      <alignment horizontal="center" vertical="center" readingOrder="2"/>
      <protection locked="0"/>
    </xf>
    <xf numFmtId="0" fontId="5" fillId="8" borderId="25" xfId="6" applyFont="1" applyFill="1" applyBorder="1" applyAlignment="1" applyProtection="1">
      <alignment horizontal="center" vertical="center" readingOrder="2"/>
      <protection locked="0"/>
    </xf>
    <xf numFmtId="0" fontId="5" fillId="9" borderId="2" xfId="6" applyFont="1" applyFill="1" applyBorder="1" applyAlignment="1" applyProtection="1">
      <alignment horizontal="center" vertical="center" readingOrder="2"/>
      <protection locked="0"/>
    </xf>
    <xf numFmtId="0" fontId="5" fillId="22" borderId="7" xfId="6" applyFont="1" applyFill="1" applyBorder="1" applyAlignment="1" applyProtection="1">
      <alignment horizontal="center" vertical="center" readingOrder="2"/>
      <protection locked="0"/>
    </xf>
    <xf numFmtId="0" fontId="5" fillId="22" borderId="8" xfId="6" applyFont="1" applyFill="1" applyBorder="1" applyAlignment="1" applyProtection="1">
      <alignment horizontal="center" vertical="center" readingOrder="2"/>
      <protection locked="0"/>
    </xf>
    <xf numFmtId="0" fontId="5" fillId="22" borderId="9" xfId="6" applyFont="1" applyFill="1" applyBorder="1" applyAlignment="1" applyProtection="1">
      <alignment horizontal="center" vertical="center" readingOrder="2"/>
      <protection locked="0"/>
    </xf>
    <xf numFmtId="3" fontId="35" fillId="10" borderId="7" xfId="0" applyNumberFormat="1" applyFont="1" applyFill="1" applyBorder="1" applyAlignment="1" applyProtection="1">
      <alignment horizontal="center" vertical="center"/>
      <protection locked="0"/>
    </xf>
    <xf numFmtId="0" fontId="35" fillId="10" borderId="8" xfId="0" applyFont="1" applyFill="1" applyBorder="1" applyAlignment="1" applyProtection="1">
      <alignment horizontal="center" vertical="center"/>
      <protection locked="0"/>
    </xf>
    <xf numFmtId="0" fontId="35" fillId="10" borderId="9" xfId="0" applyFont="1" applyFill="1" applyBorder="1" applyAlignment="1" applyProtection="1">
      <alignment horizontal="center" vertical="center"/>
      <protection locked="0"/>
    </xf>
    <xf numFmtId="1" fontId="41" fillId="21" borderId="7" xfId="2" applyNumberFormat="1" applyFont="1" applyFill="1" applyBorder="1" applyAlignment="1" applyProtection="1">
      <alignment horizontal="center" vertical="center" wrapText="1"/>
      <protection locked="0"/>
    </xf>
    <xf numFmtId="0" fontId="41" fillId="21" borderId="9" xfId="2" applyFont="1" applyFill="1" applyBorder="1" applyAlignment="1" applyProtection="1">
      <alignment horizontal="center" vertical="center" wrapText="1"/>
      <protection locked="0"/>
    </xf>
    <xf numFmtId="1" fontId="41" fillId="21" borderId="64" xfId="2" applyNumberFormat="1" applyFont="1" applyFill="1" applyBorder="1" applyAlignment="1" applyProtection="1">
      <alignment horizontal="center" vertical="center" wrapText="1"/>
      <protection locked="0"/>
    </xf>
    <xf numFmtId="0" fontId="41" fillId="21" borderId="65" xfId="2" applyFont="1" applyFill="1" applyBorder="1" applyAlignment="1" applyProtection="1">
      <alignment horizontal="center" vertical="center" wrapText="1"/>
      <protection locked="0"/>
    </xf>
    <xf numFmtId="0" fontId="33" fillId="2" borderId="2" xfId="2" applyFont="1" applyBorder="1" applyAlignment="1" applyProtection="1">
      <alignment horizontal="center" vertical="center" wrapText="1"/>
      <protection locked="0"/>
    </xf>
    <xf numFmtId="0" fontId="26" fillId="16" borderId="7" xfId="0" applyFont="1" applyFill="1" applyBorder="1" applyAlignment="1" applyProtection="1">
      <alignment horizontal="center" vertical="center"/>
      <protection locked="0"/>
    </xf>
    <xf numFmtId="0" fontId="26" fillId="16" borderId="8" xfId="0" applyFont="1" applyFill="1" applyBorder="1" applyAlignment="1" applyProtection="1">
      <alignment horizontal="center" vertical="center"/>
      <protection locked="0"/>
    </xf>
    <xf numFmtId="0" fontId="26" fillId="16" borderId="9" xfId="0" applyFont="1" applyFill="1" applyBorder="1" applyAlignment="1" applyProtection="1">
      <alignment horizontal="center" vertical="center"/>
      <protection locked="0"/>
    </xf>
    <xf numFmtId="0" fontId="38" fillId="10" borderId="68" xfId="2" applyFont="1" applyFill="1" applyBorder="1" applyAlignment="1" applyProtection="1">
      <alignment horizontal="center" vertical="center" wrapText="1"/>
      <protection locked="0"/>
    </xf>
    <xf numFmtId="0" fontId="38" fillId="10" borderId="0" xfId="2" applyFont="1" applyFill="1" applyBorder="1" applyAlignment="1" applyProtection="1">
      <alignment horizontal="center" vertical="center" wrapText="1"/>
      <protection locked="0"/>
    </xf>
    <xf numFmtId="0" fontId="38" fillId="10" borderId="70" xfId="2" applyFont="1" applyFill="1" applyBorder="1" applyAlignment="1" applyProtection="1">
      <alignment horizontal="center" vertical="center" wrapText="1"/>
      <protection locked="0"/>
    </xf>
    <xf numFmtId="0" fontId="39" fillId="2" borderId="68" xfId="2" applyFont="1" applyBorder="1" applyAlignment="1" applyProtection="1">
      <alignment horizontal="center" vertical="center" wrapText="1"/>
      <protection locked="0"/>
    </xf>
    <xf numFmtId="0" fontId="39" fillId="2" borderId="70" xfId="2" applyFont="1" applyBorder="1" applyAlignment="1" applyProtection="1">
      <alignment horizontal="center" vertical="center" wrapText="1"/>
      <protection locked="0"/>
    </xf>
    <xf numFmtId="0" fontId="33" fillId="2" borderId="2" xfId="2" applyNumberFormat="1" applyFont="1" applyBorder="1" applyAlignment="1" applyProtection="1">
      <alignment horizontal="center" vertical="center" wrapText="1"/>
      <protection locked="0"/>
    </xf>
    <xf numFmtId="3" fontId="35" fillId="10" borderId="9" xfId="0" applyNumberFormat="1" applyFont="1" applyFill="1" applyBorder="1" applyAlignment="1" applyProtection="1">
      <alignment horizontal="center" vertical="center"/>
      <protection locked="0"/>
    </xf>
    <xf numFmtId="3" fontId="35" fillId="10" borderId="8" xfId="0" applyNumberFormat="1" applyFont="1" applyFill="1" applyBorder="1" applyAlignment="1" applyProtection="1">
      <alignment horizontal="center" vertical="center"/>
      <protection locked="0"/>
    </xf>
    <xf numFmtId="0" fontId="39" fillId="2" borderId="10" xfId="2" applyFont="1" applyBorder="1" applyAlignment="1" applyProtection="1">
      <alignment horizontal="center" vertical="center" wrapText="1"/>
      <protection locked="0"/>
    </xf>
    <xf numFmtId="0" fontId="39" fillId="2" borderId="22" xfId="2" applyFont="1" applyBorder="1" applyAlignment="1" applyProtection="1">
      <alignment horizontal="center" vertical="center" wrapText="1"/>
      <protection locked="0"/>
    </xf>
    <xf numFmtId="0" fontId="38" fillId="22" borderId="7" xfId="2" applyFont="1" applyFill="1" applyBorder="1" applyAlignment="1" applyProtection="1">
      <alignment horizontal="center" vertical="center" wrapText="1"/>
      <protection locked="0"/>
    </xf>
    <xf numFmtId="0" fontId="38" fillId="22" borderId="9" xfId="2" applyFont="1" applyFill="1" applyBorder="1" applyAlignment="1" applyProtection="1">
      <alignment horizontal="center" vertical="center" wrapText="1"/>
      <protection locked="0"/>
    </xf>
    <xf numFmtId="0" fontId="40" fillId="11" borderId="10" xfId="2" applyFont="1" applyFill="1" applyBorder="1" applyAlignment="1" applyProtection="1">
      <alignment horizontal="center" vertical="center" wrapText="1"/>
      <protection locked="0"/>
    </xf>
    <xf numFmtId="0" fontId="40" fillId="11" borderId="22" xfId="2" applyFont="1" applyFill="1" applyBorder="1" applyAlignment="1" applyProtection="1">
      <alignment horizontal="center" vertical="center" wrapText="1"/>
      <protection locked="0"/>
    </xf>
    <xf numFmtId="20" fontId="42" fillId="14" borderId="7" xfId="0" applyNumberFormat="1" applyFont="1" applyFill="1" applyBorder="1" applyAlignment="1" applyProtection="1">
      <alignment horizontal="center" vertical="center"/>
      <protection locked="0"/>
    </xf>
    <xf numFmtId="20" fontId="42" fillId="14" borderId="8" xfId="0" applyNumberFormat="1" applyFont="1" applyFill="1" applyBorder="1" applyAlignment="1" applyProtection="1">
      <alignment horizontal="center" vertical="center"/>
      <protection locked="0"/>
    </xf>
    <xf numFmtId="20" fontId="42" fillId="14" borderId="9" xfId="0" applyNumberFormat="1" applyFont="1" applyFill="1" applyBorder="1" applyAlignment="1" applyProtection="1">
      <alignment horizontal="center" vertical="center"/>
      <protection locked="0"/>
    </xf>
    <xf numFmtId="20" fontId="6" fillId="14" borderId="2" xfId="0" applyNumberFormat="1" applyFont="1" applyFill="1" applyBorder="1" applyAlignment="1" applyProtection="1">
      <alignment horizontal="center" vertical="center"/>
      <protection locked="0"/>
    </xf>
    <xf numFmtId="166" fontId="4" fillId="14" borderId="7" xfId="0" applyNumberFormat="1" applyFont="1" applyFill="1" applyBorder="1" applyAlignment="1" applyProtection="1">
      <alignment horizontal="center" vertical="center"/>
      <protection locked="0"/>
    </xf>
    <xf numFmtId="166" fontId="4" fillId="14" borderId="9" xfId="0" applyNumberFormat="1" applyFont="1" applyFill="1" applyBorder="1" applyAlignment="1" applyProtection="1">
      <alignment horizontal="center" vertical="center"/>
      <protection locked="0"/>
    </xf>
    <xf numFmtId="0" fontId="50" fillId="23" borderId="7" xfId="2" applyFont="1" applyFill="1" applyBorder="1" applyAlignment="1" applyProtection="1">
      <alignment horizontal="center" vertical="center"/>
      <protection locked="0"/>
    </xf>
    <xf numFmtId="0" fontId="50" fillId="23" borderId="8" xfId="2" applyFont="1" applyFill="1" applyBorder="1" applyAlignment="1" applyProtection="1">
      <alignment horizontal="center" vertical="center"/>
      <protection locked="0"/>
    </xf>
    <xf numFmtId="0" fontId="50" fillId="23" borderId="9" xfId="2" applyFont="1" applyFill="1" applyBorder="1" applyAlignment="1" applyProtection="1">
      <alignment horizontal="center" vertical="center"/>
      <protection locked="0"/>
    </xf>
    <xf numFmtId="0" fontId="48" fillId="8" borderId="7" xfId="0" applyFont="1" applyFill="1" applyBorder="1" applyAlignment="1" applyProtection="1">
      <alignment horizontal="center" vertical="center"/>
      <protection locked="0"/>
    </xf>
    <xf numFmtId="0" fontId="48" fillId="8" borderId="8" xfId="0" applyFont="1" applyFill="1" applyBorder="1" applyAlignment="1" applyProtection="1">
      <alignment horizontal="center" vertical="center"/>
      <protection locked="0"/>
    </xf>
    <xf numFmtId="0" fontId="48" fillId="8" borderId="9" xfId="0" applyFont="1" applyFill="1" applyBorder="1" applyAlignment="1" applyProtection="1">
      <alignment horizontal="center" vertical="center"/>
      <protection locked="0"/>
    </xf>
    <xf numFmtId="0" fontId="49" fillId="9" borderId="2" xfId="0" applyFont="1" applyFill="1" applyBorder="1" applyAlignment="1" applyProtection="1">
      <alignment horizontal="center" vertical="center"/>
      <protection locked="0"/>
    </xf>
    <xf numFmtId="0" fontId="49" fillId="22" borderId="7" xfId="0" applyFont="1" applyFill="1" applyBorder="1" applyAlignment="1" applyProtection="1">
      <alignment horizontal="center" vertical="center"/>
      <protection locked="0"/>
    </xf>
    <xf numFmtId="0" fontId="49" fillId="22" borderId="8" xfId="0" applyFont="1" applyFill="1" applyBorder="1" applyAlignment="1" applyProtection="1">
      <alignment horizontal="center" vertical="center"/>
      <protection locked="0"/>
    </xf>
    <xf numFmtId="0" fontId="49" fillId="22" borderId="9" xfId="0" applyFont="1" applyFill="1" applyBorder="1" applyAlignment="1" applyProtection="1">
      <alignment horizontal="center" vertical="center"/>
      <protection locked="0"/>
    </xf>
    <xf numFmtId="1" fontId="41" fillId="17" borderId="7" xfId="2" applyNumberFormat="1" applyFont="1" applyFill="1" applyBorder="1" applyAlignment="1" applyProtection="1">
      <alignment horizontal="center" vertical="center" wrapText="1"/>
      <protection locked="0"/>
    </xf>
    <xf numFmtId="0" fontId="41" fillId="17" borderId="9" xfId="2" applyFont="1" applyFill="1" applyBorder="1" applyAlignment="1" applyProtection="1">
      <alignment horizontal="center" vertical="center" wrapText="1"/>
      <protection locked="0"/>
    </xf>
    <xf numFmtId="1" fontId="41" fillId="17" borderId="9" xfId="2" applyNumberFormat="1" applyFont="1" applyFill="1" applyBorder="1" applyAlignment="1" applyProtection="1">
      <alignment horizontal="center" vertical="center" wrapText="1"/>
      <protection locked="0"/>
    </xf>
    <xf numFmtId="1" fontId="41" fillId="17" borderId="16" xfId="2" applyNumberFormat="1" applyFont="1" applyFill="1" applyBorder="1" applyAlignment="1" applyProtection="1">
      <alignment horizontal="center" vertical="center" wrapText="1"/>
      <protection locked="0"/>
    </xf>
    <xf numFmtId="1" fontId="41" fillId="17" borderId="66" xfId="2" applyNumberFormat="1" applyFont="1" applyFill="1" applyBorder="1" applyAlignment="1" applyProtection="1">
      <alignment horizontal="center" vertical="center" wrapText="1"/>
      <protection locked="0"/>
    </xf>
    <xf numFmtId="3" fontId="35" fillId="10" borderId="2" xfId="0" applyNumberFormat="1" applyFont="1" applyFill="1" applyBorder="1" applyAlignment="1" applyProtection="1">
      <alignment horizontal="center" vertical="center"/>
      <protection locked="0"/>
    </xf>
    <xf numFmtId="3" fontId="34" fillId="10" borderId="8" xfId="2" applyNumberFormat="1" applyFont="1" applyFill="1" applyBorder="1" applyAlignment="1" applyProtection="1">
      <alignment horizontal="center" vertical="center" wrapText="1"/>
      <protection locked="0"/>
    </xf>
    <xf numFmtId="3" fontId="34" fillId="10" borderId="9" xfId="2" applyNumberFormat="1" applyFont="1" applyFill="1" applyBorder="1" applyAlignment="1" applyProtection="1">
      <alignment horizontal="center" vertical="center" wrapText="1"/>
      <protection locked="0"/>
    </xf>
    <xf numFmtId="3" fontId="34" fillId="10" borderId="7" xfId="2" applyNumberFormat="1" applyFont="1" applyFill="1" applyBorder="1" applyAlignment="1" applyProtection="1">
      <alignment horizontal="center" vertical="center" wrapText="1"/>
      <protection locked="0"/>
    </xf>
    <xf numFmtId="0" fontId="34" fillId="10" borderId="8" xfId="2" applyNumberFormat="1" applyFont="1" applyFill="1" applyBorder="1" applyAlignment="1" applyProtection="1">
      <alignment horizontal="center" vertical="center" wrapText="1"/>
      <protection locked="0"/>
    </xf>
    <xf numFmtId="0" fontId="34" fillId="10" borderId="9" xfId="2" applyNumberFormat="1" applyFont="1" applyFill="1" applyBorder="1" applyAlignment="1" applyProtection="1">
      <alignment horizontal="center" vertical="center" wrapText="1"/>
      <protection locked="0"/>
    </xf>
    <xf numFmtId="0" fontId="38" fillId="8" borderId="7" xfId="2" applyFont="1" applyFill="1" applyBorder="1" applyAlignment="1" applyProtection="1">
      <alignment horizontal="center" vertical="center" wrapText="1"/>
      <protection locked="0"/>
    </xf>
    <xf numFmtId="0" fontId="38" fillId="8" borderId="9" xfId="2" applyFont="1" applyFill="1" applyBorder="1" applyAlignment="1" applyProtection="1">
      <alignment horizontal="center" vertical="center" wrapText="1"/>
      <protection locked="0"/>
    </xf>
    <xf numFmtId="0" fontId="38" fillId="9" borderId="7" xfId="2" applyFont="1" applyFill="1" applyBorder="1" applyAlignment="1" applyProtection="1">
      <alignment horizontal="center" vertical="center" wrapText="1"/>
      <protection locked="0"/>
    </xf>
    <xf numFmtId="0" fontId="38" fillId="9" borderId="9" xfId="2" applyFont="1" applyFill="1" applyBorder="1" applyAlignment="1" applyProtection="1">
      <alignment horizontal="center" vertical="center" wrapText="1"/>
      <protection locked="0"/>
    </xf>
    <xf numFmtId="0" fontId="0" fillId="23" borderId="71" xfId="0" applyFill="1" applyBorder="1" applyAlignment="1" applyProtection="1">
      <alignment horizontal="center"/>
      <protection locked="0"/>
    </xf>
    <xf numFmtId="0" fontId="0" fillId="23" borderId="72" xfId="0" applyFill="1" applyBorder="1" applyAlignment="1" applyProtection="1">
      <alignment horizontal="center"/>
      <protection locked="0"/>
    </xf>
    <xf numFmtId="0" fontId="0" fillId="23" borderId="56" xfId="0" applyFill="1" applyBorder="1" applyAlignment="1" applyProtection="1">
      <alignment horizontal="center"/>
      <protection locked="0"/>
    </xf>
    <xf numFmtId="0" fontId="0" fillId="23" borderId="33" xfId="0" applyFill="1" applyBorder="1" applyAlignment="1" applyProtection="1">
      <alignment horizontal="center"/>
      <protection locked="0"/>
    </xf>
    <xf numFmtId="0" fontId="0" fillId="23" borderId="32" xfId="0" applyFill="1" applyBorder="1" applyAlignment="1" applyProtection="1">
      <alignment horizontal="center"/>
      <protection locked="0"/>
    </xf>
    <xf numFmtId="0" fontId="0" fillId="23" borderId="34" xfId="0" applyFill="1" applyBorder="1" applyAlignment="1" applyProtection="1">
      <alignment horizontal="center"/>
      <protection locked="0"/>
    </xf>
    <xf numFmtId="0" fontId="6" fillId="23" borderId="54" xfId="0" applyFont="1" applyFill="1" applyBorder="1" applyAlignment="1" applyProtection="1">
      <alignment horizontal="center" vertical="center" textRotation="90"/>
      <protection locked="0"/>
    </xf>
    <xf numFmtId="0" fontId="6" fillId="23" borderId="67" xfId="0" applyFont="1" applyFill="1" applyBorder="1" applyAlignment="1" applyProtection="1">
      <alignment horizontal="center" vertical="center" textRotation="90"/>
      <protection locked="0"/>
    </xf>
    <xf numFmtId="0" fontId="48" fillId="22" borderId="7" xfId="0" applyFont="1" applyFill="1" applyBorder="1" applyAlignment="1" applyProtection="1">
      <alignment horizontal="center" vertical="center"/>
      <protection locked="0"/>
    </xf>
    <xf numFmtId="0" fontId="48" fillId="22" borderId="9" xfId="0" applyFont="1" applyFill="1" applyBorder="1" applyAlignment="1" applyProtection="1">
      <alignment horizontal="center" vertical="center"/>
      <protection locked="0"/>
    </xf>
    <xf numFmtId="0" fontId="48" fillId="10" borderId="7" xfId="0" applyFont="1" applyFill="1" applyBorder="1" applyAlignment="1" applyProtection="1">
      <alignment horizontal="center" vertical="center"/>
      <protection locked="0"/>
    </xf>
    <xf numFmtId="0" fontId="48" fillId="10" borderId="9" xfId="0" applyFont="1" applyFill="1" applyBorder="1" applyAlignment="1" applyProtection="1">
      <alignment horizontal="center" vertical="center"/>
      <protection locked="0"/>
    </xf>
    <xf numFmtId="0" fontId="29" fillId="23" borderId="7" xfId="2" applyFont="1" applyFill="1" applyBorder="1" applyAlignment="1" applyProtection="1">
      <alignment horizontal="center" vertical="center"/>
      <protection locked="0"/>
    </xf>
    <xf numFmtId="0" fontId="29" fillId="23" borderId="8" xfId="2" applyFont="1" applyFill="1" applyBorder="1" applyAlignment="1" applyProtection="1">
      <alignment horizontal="center" vertical="center"/>
      <protection locked="0"/>
    </xf>
    <xf numFmtId="0" fontId="29" fillId="23" borderId="9" xfId="2" applyFont="1" applyFill="1" applyBorder="1" applyAlignment="1" applyProtection="1">
      <alignment horizontal="center" vertical="center"/>
      <protection locked="0"/>
    </xf>
    <xf numFmtId="166" fontId="20" fillId="0" borderId="2" xfId="0" applyNumberFormat="1" applyFont="1" applyBorder="1" applyAlignment="1" applyProtection="1">
      <alignment horizontal="center" vertical="center"/>
      <protection locked="0"/>
    </xf>
    <xf numFmtId="0" fontId="20" fillId="0" borderId="2" xfId="0" applyFont="1" applyBorder="1" applyAlignment="1" applyProtection="1">
      <alignment horizontal="center" vertical="center"/>
      <protection locked="0"/>
    </xf>
    <xf numFmtId="0" fontId="0" fillId="23" borderId="7" xfId="0" applyFill="1" applyBorder="1" applyAlignment="1" applyProtection="1">
      <alignment horizontal="center"/>
      <protection locked="0"/>
    </xf>
    <xf numFmtId="0" fontId="0" fillId="23" borderId="8" xfId="0" applyFill="1" applyBorder="1" applyAlignment="1" applyProtection="1">
      <alignment horizontal="center"/>
      <protection locked="0"/>
    </xf>
    <xf numFmtId="0" fontId="0" fillId="23" borderId="9" xfId="0" applyFill="1" applyBorder="1" applyAlignment="1" applyProtection="1">
      <alignment horizontal="center"/>
      <protection locked="0"/>
    </xf>
    <xf numFmtId="1" fontId="44" fillId="17" borderId="2" xfId="0" applyNumberFormat="1" applyFont="1" applyFill="1" applyBorder="1" applyAlignment="1" applyProtection="1">
      <alignment horizontal="center" vertical="center"/>
      <protection locked="0"/>
    </xf>
    <xf numFmtId="0" fontId="44" fillId="17" borderId="2" xfId="0" applyFont="1" applyFill="1" applyBorder="1" applyAlignment="1" applyProtection="1">
      <alignment horizontal="center" vertical="center"/>
      <protection locked="0"/>
    </xf>
    <xf numFmtId="1" fontId="44" fillId="17" borderId="7" xfId="0" applyNumberFormat="1" applyFont="1" applyFill="1" applyBorder="1" applyAlignment="1" applyProtection="1">
      <alignment horizontal="center" vertical="center"/>
      <protection locked="0"/>
    </xf>
    <xf numFmtId="0" fontId="44" fillId="17" borderId="9" xfId="0" applyFont="1" applyFill="1" applyBorder="1" applyAlignment="1" applyProtection="1">
      <alignment horizontal="center" vertical="center"/>
      <protection locked="0"/>
    </xf>
    <xf numFmtId="166" fontId="42" fillId="0" borderId="7" xfId="0" applyNumberFormat="1" applyFont="1" applyBorder="1" applyAlignment="1" applyProtection="1">
      <alignment horizontal="center" vertical="center"/>
      <protection locked="0"/>
    </xf>
    <xf numFmtId="0" fontId="42" fillId="0" borderId="9" xfId="0" applyFont="1" applyBorder="1" applyAlignment="1" applyProtection="1">
      <alignment horizontal="center" vertical="center"/>
      <protection locked="0"/>
    </xf>
    <xf numFmtId="166" fontId="20" fillId="0" borderId="7" xfId="0" applyNumberFormat="1" applyFont="1" applyBorder="1" applyAlignment="1" applyProtection="1">
      <alignment horizontal="center" vertical="center"/>
      <protection locked="0"/>
    </xf>
    <xf numFmtId="0" fontId="20" fillId="0" borderId="9" xfId="0" applyFont="1" applyBorder="1" applyAlignment="1" applyProtection="1">
      <alignment horizontal="center" vertical="center"/>
      <protection locked="0"/>
    </xf>
    <xf numFmtId="20" fontId="33" fillId="2" borderId="2" xfId="2" applyNumberFormat="1" applyFont="1" applyBorder="1" applyAlignment="1" applyProtection="1">
      <alignment horizontal="center" vertical="center" wrapText="1" readingOrder="2"/>
      <protection locked="0"/>
    </xf>
    <xf numFmtId="0" fontId="15" fillId="0" borderId="51" xfId="0" applyFont="1" applyBorder="1" applyAlignment="1">
      <alignment horizontal="center" vertical="center" textRotation="90" readingOrder="2"/>
    </xf>
    <xf numFmtId="0" fontId="22" fillId="0" borderId="51" xfId="0" applyFont="1" applyBorder="1" applyAlignment="1">
      <alignment horizontal="center" vertical="center" textRotation="90" wrapText="1"/>
    </xf>
    <xf numFmtId="0" fontId="22" fillId="0" borderId="67" xfId="0" applyFont="1" applyBorder="1" applyAlignment="1">
      <alignment horizontal="center" vertical="center" textRotation="90" wrapText="1"/>
    </xf>
    <xf numFmtId="0" fontId="22" fillId="0" borderId="54" xfId="0" applyFont="1" applyBorder="1" applyAlignment="1">
      <alignment horizontal="center" vertical="center" textRotation="90"/>
    </xf>
    <xf numFmtId="0" fontId="22" fillId="0" borderId="51" xfId="0" applyFont="1" applyBorder="1" applyAlignment="1">
      <alignment horizontal="center" vertical="center" textRotation="90"/>
    </xf>
    <xf numFmtId="0" fontId="22" fillId="0" borderId="67" xfId="0" applyFont="1" applyBorder="1" applyAlignment="1">
      <alignment horizontal="center" vertical="center" textRotation="90"/>
    </xf>
    <xf numFmtId="0" fontId="56" fillId="0" borderId="51" xfId="0" applyFont="1" applyBorder="1" applyAlignment="1">
      <alignment horizontal="center" vertical="center" textRotation="90" wrapText="1"/>
    </xf>
  </cellXfs>
  <cellStyles count="9">
    <cellStyle name="20% - Accent1" xfId="3" builtinId="30"/>
    <cellStyle name="20% - Accent3" xfId="7" builtinId="38"/>
    <cellStyle name="40% - Accent1" xfId="4" builtinId="31"/>
    <cellStyle name="40% - Accent2" xfId="5" builtinId="35"/>
    <cellStyle name="60% - Accent2" xfId="6" builtinId="36"/>
    <cellStyle name="Comma" xfId="1" builtinId="3"/>
    <cellStyle name="Normal" xfId="0" builtinId="0"/>
    <cellStyle name="Normal 2" xfId="8" xr:uid="{3C010F54-CDC6-4DC7-B2B3-7E2DC651C1F5}"/>
    <cellStyle name="Output" xfId="2" builtinId="21"/>
  </cellStyles>
  <dxfs count="404"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auto="1"/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auto="1"/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auto="1"/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auto="1"/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auto="1"/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auto="1"/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auto="1"/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auto="1"/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auto="1"/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auto="1"/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auto="1"/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auto="1"/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auto="1"/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auto="1"/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auto="1"/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auto="1"/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auto="1"/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auto="1"/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auto="1"/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auto="1"/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auto="1"/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auto="1"/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auto="1"/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auto="1"/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auto="1"/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auto="1"/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auto="1"/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auto="1"/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auto="1"/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auto="1"/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auto="1"/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531868</xdr:colOff>
      <xdr:row>0</xdr:row>
      <xdr:rowOff>113234</xdr:rowOff>
    </xdr:from>
    <xdr:to>
      <xdr:col>21</xdr:col>
      <xdr:colOff>197550</xdr:colOff>
      <xdr:row>1</xdr:row>
      <xdr:rowOff>432954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0E0B63-1748-4744-9E76-D760B6A7D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6096950" y="113234"/>
          <a:ext cx="1018232" cy="786445"/>
        </a:xfrm>
        <a:prstGeom prst="rect">
          <a:avLst/>
        </a:prstGeom>
      </xdr:spPr>
    </xdr:pic>
    <xdr:clientData/>
  </xdr:twoCellAnchor>
  <xdr:twoCellAnchor>
    <xdr:from>
      <xdr:col>18</xdr:col>
      <xdr:colOff>11988</xdr:colOff>
      <xdr:row>1</xdr:row>
      <xdr:rowOff>456268</xdr:rowOff>
    </xdr:from>
    <xdr:to>
      <xdr:col>23</xdr:col>
      <xdr:colOff>0</xdr:colOff>
      <xdr:row>2</xdr:row>
      <xdr:rowOff>259773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FD6272DE-02AC-403C-8667-9C439A26DF21}"/>
            </a:ext>
          </a:extLst>
        </xdr:cNvPr>
        <xdr:cNvSpPr txBox="1"/>
      </xdr:nvSpPr>
      <xdr:spPr>
        <a:xfrm>
          <a:off x="9975075300" y="922993"/>
          <a:ext cx="2940762" cy="27023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fa-IR" sz="1400" b="1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ysClr val="windowText" lastClr="000000">
                    <a:alpha val="40000"/>
                  </a:sys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B Nazanin" panose="00000400000000000000" pitchFamily="2" charset="-78"/>
            </a:rPr>
            <a:t>مجتمع ذوب آهن و فولاد کویر کرمان</a:t>
          </a:r>
          <a:endParaRPr lang="en-US" sz="24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531868</xdr:colOff>
      <xdr:row>0</xdr:row>
      <xdr:rowOff>113234</xdr:rowOff>
    </xdr:from>
    <xdr:to>
      <xdr:col>21</xdr:col>
      <xdr:colOff>197550</xdr:colOff>
      <xdr:row>1</xdr:row>
      <xdr:rowOff>432954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4E7741-CB08-4E47-89CE-47714C2B9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6096950" y="113234"/>
          <a:ext cx="1018232" cy="786445"/>
        </a:xfrm>
        <a:prstGeom prst="rect">
          <a:avLst/>
        </a:prstGeom>
      </xdr:spPr>
    </xdr:pic>
    <xdr:clientData/>
  </xdr:twoCellAnchor>
  <xdr:twoCellAnchor>
    <xdr:from>
      <xdr:col>18</xdr:col>
      <xdr:colOff>11988</xdr:colOff>
      <xdr:row>1</xdr:row>
      <xdr:rowOff>456268</xdr:rowOff>
    </xdr:from>
    <xdr:to>
      <xdr:col>23</xdr:col>
      <xdr:colOff>0</xdr:colOff>
      <xdr:row>2</xdr:row>
      <xdr:rowOff>259773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6DAE7508-3821-4AB7-9973-0BE18C69550D}"/>
            </a:ext>
          </a:extLst>
        </xdr:cNvPr>
        <xdr:cNvSpPr txBox="1"/>
      </xdr:nvSpPr>
      <xdr:spPr>
        <a:xfrm>
          <a:off x="9975075300" y="922993"/>
          <a:ext cx="2940762" cy="27023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fa-IR" sz="1400" b="1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ysClr val="windowText" lastClr="000000">
                    <a:alpha val="40000"/>
                  </a:sys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B Nazanin" panose="00000400000000000000" pitchFamily="2" charset="-78"/>
            </a:rPr>
            <a:t>مجتمع ذوب آهن و فولاد کویر کرمان</a:t>
          </a:r>
          <a:endParaRPr lang="en-US" sz="24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531868</xdr:colOff>
      <xdr:row>0</xdr:row>
      <xdr:rowOff>113234</xdr:rowOff>
    </xdr:from>
    <xdr:to>
      <xdr:col>21</xdr:col>
      <xdr:colOff>197550</xdr:colOff>
      <xdr:row>1</xdr:row>
      <xdr:rowOff>432954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998F17-EF09-4BF0-BE59-D58AA77C7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6096950" y="113234"/>
          <a:ext cx="1018232" cy="786445"/>
        </a:xfrm>
        <a:prstGeom prst="rect">
          <a:avLst/>
        </a:prstGeom>
      </xdr:spPr>
    </xdr:pic>
    <xdr:clientData/>
  </xdr:twoCellAnchor>
  <xdr:twoCellAnchor>
    <xdr:from>
      <xdr:col>18</xdr:col>
      <xdr:colOff>11988</xdr:colOff>
      <xdr:row>1</xdr:row>
      <xdr:rowOff>456268</xdr:rowOff>
    </xdr:from>
    <xdr:to>
      <xdr:col>23</xdr:col>
      <xdr:colOff>0</xdr:colOff>
      <xdr:row>2</xdr:row>
      <xdr:rowOff>259773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22C60C44-BDC7-438F-8633-4F98A884F65C}"/>
            </a:ext>
          </a:extLst>
        </xdr:cNvPr>
        <xdr:cNvSpPr txBox="1"/>
      </xdr:nvSpPr>
      <xdr:spPr>
        <a:xfrm>
          <a:off x="9975075300" y="922993"/>
          <a:ext cx="2940762" cy="27023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fa-IR" sz="1400" b="1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ysClr val="windowText" lastClr="000000">
                    <a:alpha val="40000"/>
                  </a:sys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B Nazanin" panose="00000400000000000000" pitchFamily="2" charset="-78"/>
            </a:rPr>
            <a:t>مجتمع ذوب آهن و فولاد کویر کرمان</a:t>
          </a:r>
          <a:endParaRPr lang="en-US" sz="24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531868</xdr:colOff>
      <xdr:row>0</xdr:row>
      <xdr:rowOff>113234</xdr:rowOff>
    </xdr:from>
    <xdr:to>
      <xdr:col>21</xdr:col>
      <xdr:colOff>197550</xdr:colOff>
      <xdr:row>1</xdr:row>
      <xdr:rowOff>432954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8CB046-E94F-4CB4-BD5B-7CA68834F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6096950" y="113234"/>
          <a:ext cx="1018232" cy="786445"/>
        </a:xfrm>
        <a:prstGeom prst="rect">
          <a:avLst/>
        </a:prstGeom>
      </xdr:spPr>
    </xdr:pic>
    <xdr:clientData/>
  </xdr:twoCellAnchor>
  <xdr:twoCellAnchor>
    <xdr:from>
      <xdr:col>18</xdr:col>
      <xdr:colOff>11988</xdr:colOff>
      <xdr:row>1</xdr:row>
      <xdr:rowOff>456268</xdr:rowOff>
    </xdr:from>
    <xdr:to>
      <xdr:col>23</xdr:col>
      <xdr:colOff>0</xdr:colOff>
      <xdr:row>2</xdr:row>
      <xdr:rowOff>259773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33CF1E26-7BF5-48B8-AEB4-5A7EBD1E896E}"/>
            </a:ext>
          </a:extLst>
        </xdr:cNvPr>
        <xdr:cNvSpPr txBox="1"/>
      </xdr:nvSpPr>
      <xdr:spPr>
        <a:xfrm>
          <a:off x="9975075300" y="922993"/>
          <a:ext cx="2940762" cy="27023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fa-IR" sz="1400" b="1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ysClr val="windowText" lastClr="000000">
                    <a:alpha val="40000"/>
                  </a:sys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B Nazanin" panose="00000400000000000000" pitchFamily="2" charset="-78"/>
            </a:rPr>
            <a:t>مجتمع ذوب آهن و فولاد کویر کرمان</a:t>
          </a:r>
          <a:endParaRPr lang="en-US" sz="24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531868</xdr:colOff>
      <xdr:row>0</xdr:row>
      <xdr:rowOff>113234</xdr:rowOff>
    </xdr:from>
    <xdr:to>
      <xdr:col>21</xdr:col>
      <xdr:colOff>197550</xdr:colOff>
      <xdr:row>1</xdr:row>
      <xdr:rowOff>432954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31DE33-0630-4A16-B4A3-4B1D596AE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6096950" y="113234"/>
          <a:ext cx="1018232" cy="786445"/>
        </a:xfrm>
        <a:prstGeom prst="rect">
          <a:avLst/>
        </a:prstGeom>
      </xdr:spPr>
    </xdr:pic>
    <xdr:clientData/>
  </xdr:twoCellAnchor>
  <xdr:twoCellAnchor>
    <xdr:from>
      <xdr:col>18</xdr:col>
      <xdr:colOff>11988</xdr:colOff>
      <xdr:row>1</xdr:row>
      <xdr:rowOff>456268</xdr:rowOff>
    </xdr:from>
    <xdr:to>
      <xdr:col>23</xdr:col>
      <xdr:colOff>0</xdr:colOff>
      <xdr:row>2</xdr:row>
      <xdr:rowOff>259773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59528060-6229-4B07-9D10-2A6CBE8EE0AD}"/>
            </a:ext>
          </a:extLst>
        </xdr:cNvPr>
        <xdr:cNvSpPr txBox="1"/>
      </xdr:nvSpPr>
      <xdr:spPr>
        <a:xfrm>
          <a:off x="9975075300" y="922993"/>
          <a:ext cx="2940762" cy="27023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fa-IR" sz="1400" b="1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ysClr val="windowText" lastClr="000000">
                    <a:alpha val="40000"/>
                  </a:sys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B Nazanin" panose="00000400000000000000" pitchFamily="2" charset="-78"/>
            </a:rPr>
            <a:t>مجتمع ذوب آهن و فولاد کویر کرمان</a:t>
          </a:r>
          <a:endParaRPr lang="en-US" sz="24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531868</xdr:colOff>
      <xdr:row>0</xdr:row>
      <xdr:rowOff>113234</xdr:rowOff>
    </xdr:from>
    <xdr:to>
      <xdr:col>21</xdr:col>
      <xdr:colOff>197550</xdr:colOff>
      <xdr:row>1</xdr:row>
      <xdr:rowOff>432954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9131E3-CDC9-41FA-A819-1C35A31B7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6096950" y="113234"/>
          <a:ext cx="1018232" cy="786445"/>
        </a:xfrm>
        <a:prstGeom prst="rect">
          <a:avLst/>
        </a:prstGeom>
      </xdr:spPr>
    </xdr:pic>
    <xdr:clientData/>
  </xdr:twoCellAnchor>
  <xdr:twoCellAnchor>
    <xdr:from>
      <xdr:col>18</xdr:col>
      <xdr:colOff>11988</xdr:colOff>
      <xdr:row>1</xdr:row>
      <xdr:rowOff>456268</xdr:rowOff>
    </xdr:from>
    <xdr:to>
      <xdr:col>23</xdr:col>
      <xdr:colOff>0</xdr:colOff>
      <xdr:row>2</xdr:row>
      <xdr:rowOff>259773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27C58895-6DC7-4E21-93F9-29E30FA303CE}"/>
            </a:ext>
          </a:extLst>
        </xdr:cNvPr>
        <xdr:cNvSpPr txBox="1"/>
      </xdr:nvSpPr>
      <xdr:spPr>
        <a:xfrm>
          <a:off x="9975075300" y="922993"/>
          <a:ext cx="2940762" cy="27023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fa-IR" sz="1400" b="1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ysClr val="windowText" lastClr="000000">
                    <a:alpha val="40000"/>
                  </a:sys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B Nazanin" panose="00000400000000000000" pitchFamily="2" charset="-78"/>
            </a:rPr>
            <a:t>مجتمع ذوب آهن و فولاد کویر کرمان</a:t>
          </a:r>
          <a:endParaRPr lang="en-US" sz="24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531868</xdr:colOff>
      <xdr:row>0</xdr:row>
      <xdr:rowOff>113234</xdr:rowOff>
    </xdr:from>
    <xdr:to>
      <xdr:col>21</xdr:col>
      <xdr:colOff>197550</xdr:colOff>
      <xdr:row>1</xdr:row>
      <xdr:rowOff>432954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5BC88D-2227-4338-86AA-3FA5C2EA3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6096950" y="113234"/>
          <a:ext cx="1018232" cy="786445"/>
        </a:xfrm>
        <a:prstGeom prst="rect">
          <a:avLst/>
        </a:prstGeom>
      </xdr:spPr>
    </xdr:pic>
    <xdr:clientData/>
  </xdr:twoCellAnchor>
  <xdr:twoCellAnchor>
    <xdr:from>
      <xdr:col>18</xdr:col>
      <xdr:colOff>11988</xdr:colOff>
      <xdr:row>1</xdr:row>
      <xdr:rowOff>456268</xdr:rowOff>
    </xdr:from>
    <xdr:to>
      <xdr:col>23</xdr:col>
      <xdr:colOff>0</xdr:colOff>
      <xdr:row>2</xdr:row>
      <xdr:rowOff>259773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A66634BB-BCDE-474D-85B1-53AAEE3F9C21}"/>
            </a:ext>
          </a:extLst>
        </xdr:cNvPr>
        <xdr:cNvSpPr txBox="1"/>
      </xdr:nvSpPr>
      <xdr:spPr>
        <a:xfrm>
          <a:off x="9975075300" y="922993"/>
          <a:ext cx="2940762" cy="27023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fa-IR" sz="1400" b="1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ysClr val="windowText" lastClr="000000">
                    <a:alpha val="40000"/>
                  </a:sys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B Nazanin" panose="00000400000000000000" pitchFamily="2" charset="-78"/>
            </a:rPr>
            <a:t>مجتمع ذوب آهن و فولاد کویر کرمان</a:t>
          </a:r>
          <a:endParaRPr lang="en-US" sz="24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531868</xdr:colOff>
      <xdr:row>0</xdr:row>
      <xdr:rowOff>113234</xdr:rowOff>
    </xdr:from>
    <xdr:to>
      <xdr:col>21</xdr:col>
      <xdr:colOff>197550</xdr:colOff>
      <xdr:row>1</xdr:row>
      <xdr:rowOff>432954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CE562E-8864-4FE4-8473-7844B45A0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6096950" y="113234"/>
          <a:ext cx="1018232" cy="786445"/>
        </a:xfrm>
        <a:prstGeom prst="rect">
          <a:avLst/>
        </a:prstGeom>
      </xdr:spPr>
    </xdr:pic>
    <xdr:clientData/>
  </xdr:twoCellAnchor>
  <xdr:twoCellAnchor>
    <xdr:from>
      <xdr:col>18</xdr:col>
      <xdr:colOff>11988</xdr:colOff>
      <xdr:row>1</xdr:row>
      <xdr:rowOff>456268</xdr:rowOff>
    </xdr:from>
    <xdr:to>
      <xdr:col>23</xdr:col>
      <xdr:colOff>0</xdr:colOff>
      <xdr:row>2</xdr:row>
      <xdr:rowOff>259773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EAFDF599-B4D3-46FA-A01E-86CE7C66B7A4}"/>
            </a:ext>
          </a:extLst>
        </xdr:cNvPr>
        <xdr:cNvSpPr txBox="1"/>
      </xdr:nvSpPr>
      <xdr:spPr>
        <a:xfrm>
          <a:off x="9975075300" y="922993"/>
          <a:ext cx="2940762" cy="27023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fa-IR" sz="1400" b="1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ysClr val="windowText" lastClr="000000">
                    <a:alpha val="40000"/>
                  </a:sys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B Nazanin" panose="00000400000000000000" pitchFamily="2" charset="-78"/>
            </a:rPr>
            <a:t>مجتمع ذوب آهن و فولاد کویر کرمان</a:t>
          </a:r>
          <a:endParaRPr lang="en-US" sz="24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531868</xdr:colOff>
      <xdr:row>0</xdr:row>
      <xdr:rowOff>113234</xdr:rowOff>
    </xdr:from>
    <xdr:to>
      <xdr:col>21</xdr:col>
      <xdr:colOff>197550</xdr:colOff>
      <xdr:row>1</xdr:row>
      <xdr:rowOff>432954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C5A806-87C5-4F85-B80B-A2ED5C382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6096950" y="113234"/>
          <a:ext cx="1018232" cy="786445"/>
        </a:xfrm>
        <a:prstGeom prst="rect">
          <a:avLst/>
        </a:prstGeom>
      </xdr:spPr>
    </xdr:pic>
    <xdr:clientData/>
  </xdr:twoCellAnchor>
  <xdr:twoCellAnchor>
    <xdr:from>
      <xdr:col>18</xdr:col>
      <xdr:colOff>11988</xdr:colOff>
      <xdr:row>1</xdr:row>
      <xdr:rowOff>456268</xdr:rowOff>
    </xdr:from>
    <xdr:to>
      <xdr:col>23</xdr:col>
      <xdr:colOff>0</xdr:colOff>
      <xdr:row>2</xdr:row>
      <xdr:rowOff>259773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A55DE04C-E15F-47D3-92EF-0C7E21501AEF}"/>
            </a:ext>
          </a:extLst>
        </xdr:cNvPr>
        <xdr:cNvSpPr txBox="1"/>
      </xdr:nvSpPr>
      <xdr:spPr>
        <a:xfrm>
          <a:off x="9975075300" y="922993"/>
          <a:ext cx="2940762" cy="27023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fa-IR" sz="1400" b="1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ysClr val="windowText" lastClr="000000">
                    <a:alpha val="40000"/>
                  </a:sys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B Nazanin" panose="00000400000000000000" pitchFamily="2" charset="-78"/>
            </a:rPr>
            <a:t>مجتمع ذوب آهن و فولاد کویر کرمان</a:t>
          </a:r>
          <a:endParaRPr lang="en-US" sz="24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531868</xdr:colOff>
      <xdr:row>0</xdr:row>
      <xdr:rowOff>113234</xdr:rowOff>
    </xdr:from>
    <xdr:to>
      <xdr:col>21</xdr:col>
      <xdr:colOff>197550</xdr:colOff>
      <xdr:row>1</xdr:row>
      <xdr:rowOff>432954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8591DE-1F36-4D52-A287-FDF8A96F4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6096950" y="113234"/>
          <a:ext cx="1018232" cy="786445"/>
        </a:xfrm>
        <a:prstGeom prst="rect">
          <a:avLst/>
        </a:prstGeom>
      </xdr:spPr>
    </xdr:pic>
    <xdr:clientData/>
  </xdr:twoCellAnchor>
  <xdr:twoCellAnchor>
    <xdr:from>
      <xdr:col>18</xdr:col>
      <xdr:colOff>11988</xdr:colOff>
      <xdr:row>1</xdr:row>
      <xdr:rowOff>456268</xdr:rowOff>
    </xdr:from>
    <xdr:to>
      <xdr:col>23</xdr:col>
      <xdr:colOff>0</xdr:colOff>
      <xdr:row>2</xdr:row>
      <xdr:rowOff>259773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F4761200-12D3-4F6F-8AE8-3EFF23DBA3A0}"/>
            </a:ext>
          </a:extLst>
        </xdr:cNvPr>
        <xdr:cNvSpPr txBox="1"/>
      </xdr:nvSpPr>
      <xdr:spPr>
        <a:xfrm>
          <a:off x="9975075300" y="922993"/>
          <a:ext cx="2940762" cy="27023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fa-IR" sz="1400" b="1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ysClr val="windowText" lastClr="000000">
                    <a:alpha val="40000"/>
                  </a:sys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B Nazanin" panose="00000400000000000000" pitchFamily="2" charset="-78"/>
            </a:rPr>
            <a:t>مجتمع ذوب آهن و فولاد کویر کرمان</a:t>
          </a:r>
          <a:endParaRPr lang="en-US" sz="24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531868</xdr:colOff>
      <xdr:row>0</xdr:row>
      <xdr:rowOff>113234</xdr:rowOff>
    </xdr:from>
    <xdr:to>
      <xdr:col>21</xdr:col>
      <xdr:colOff>197550</xdr:colOff>
      <xdr:row>1</xdr:row>
      <xdr:rowOff>432954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A64199-27DC-40B3-9D76-50B5E419A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6096950" y="113234"/>
          <a:ext cx="1018232" cy="786445"/>
        </a:xfrm>
        <a:prstGeom prst="rect">
          <a:avLst/>
        </a:prstGeom>
      </xdr:spPr>
    </xdr:pic>
    <xdr:clientData/>
  </xdr:twoCellAnchor>
  <xdr:twoCellAnchor>
    <xdr:from>
      <xdr:col>18</xdr:col>
      <xdr:colOff>11988</xdr:colOff>
      <xdr:row>1</xdr:row>
      <xdr:rowOff>456268</xdr:rowOff>
    </xdr:from>
    <xdr:to>
      <xdr:col>23</xdr:col>
      <xdr:colOff>0</xdr:colOff>
      <xdr:row>2</xdr:row>
      <xdr:rowOff>259773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933467AB-CA3A-428B-A810-4574DE5A8AEF}"/>
            </a:ext>
          </a:extLst>
        </xdr:cNvPr>
        <xdr:cNvSpPr txBox="1"/>
      </xdr:nvSpPr>
      <xdr:spPr>
        <a:xfrm>
          <a:off x="9975075300" y="922993"/>
          <a:ext cx="2940762" cy="27023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fa-IR" sz="1400" b="1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ysClr val="windowText" lastClr="000000">
                    <a:alpha val="40000"/>
                  </a:sys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B Nazanin" panose="00000400000000000000" pitchFamily="2" charset="-78"/>
            </a:rPr>
            <a:t>مجتمع ذوب آهن و فولاد کویر کرمان</a:t>
          </a:r>
          <a:endParaRPr lang="en-US" sz="24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531868</xdr:colOff>
      <xdr:row>0</xdr:row>
      <xdr:rowOff>113234</xdr:rowOff>
    </xdr:from>
    <xdr:to>
      <xdr:col>21</xdr:col>
      <xdr:colOff>197550</xdr:colOff>
      <xdr:row>1</xdr:row>
      <xdr:rowOff>432954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5CBEB7-59FE-4E4D-B07D-0B551E3B1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6096950" y="113234"/>
          <a:ext cx="1018232" cy="786445"/>
        </a:xfrm>
        <a:prstGeom prst="rect">
          <a:avLst/>
        </a:prstGeom>
      </xdr:spPr>
    </xdr:pic>
    <xdr:clientData/>
  </xdr:twoCellAnchor>
  <xdr:twoCellAnchor>
    <xdr:from>
      <xdr:col>18</xdr:col>
      <xdr:colOff>11988</xdr:colOff>
      <xdr:row>1</xdr:row>
      <xdr:rowOff>456268</xdr:rowOff>
    </xdr:from>
    <xdr:to>
      <xdr:col>23</xdr:col>
      <xdr:colOff>0</xdr:colOff>
      <xdr:row>2</xdr:row>
      <xdr:rowOff>259773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19A2A8B-F9CE-43A0-B3A3-84D31E97450C}"/>
            </a:ext>
          </a:extLst>
        </xdr:cNvPr>
        <xdr:cNvSpPr txBox="1"/>
      </xdr:nvSpPr>
      <xdr:spPr>
        <a:xfrm>
          <a:off x="9975075300" y="922993"/>
          <a:ext cx="2940762" cy="27023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fa-IR" sz="1400" b="1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ysClr val="windowText" lastClr="000000">
                    <a:alpha val="40000"/>
                  </a:sys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B Nazanin" panose="00000400000000000000" pitchFamily="2" charset="-78"/>
            </a:rPr>
            <a:t>مجتمع ذوب آهن و فولاد کویر کرمان</a:t>
          </a:r>
          <a:endParaRPr lang="en-US" sz="24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531868</xdr:colOff>
      <xdr:row>0</xdr:row>
      <xdr:rowOff>113234</xdr:rowOff>
    </xdr:from>
    <xdr:to>
      <xdr:col>21</xdr:col>
      <xdr:colOff>197550</xdr:colOff>
      <xdr:row>1</xdr:row>
      <xdr:rowOff>432954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C03E69-8F59-44EC-A737-D13911176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6096950" y="113234"/>
          <a:ext cx="1018232" cy="786445"/>
        </a:xfrm>
        <a:prstGeom prst="rect">
          <a:avLst/>
        </a:prstGeom>
      </xdr:spPr>
    </xdr:pic>
    <xdr:clientData/>
  </xdr:twoCellAnchor>
  <xdr:twoCellAnchor>
    <xdr:from>
      <xdr:col>18</xdr:col>
      <xdr:colOff>11988</xdr:colOff>
      <xdr:row>1</xdr:row>
      <xdr:rowOff>456268</xdr:rowOff>
    </xdr:from>
    <xdr:to>
      <xdr:col>23</xdr:col>
      <xdr:colOff>0</xdr:colOff>
      <xdr:row>2</xdr:row>
      <xdr:rowOff>259773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E4A13617-B9B4-43D6-AC27-51C4C42C2E41}"/>
            </a:ext>
          </a:extLst>
        </xdr:cNvPr>
        <xdr:cNvSpPr txBox="1"/>
      </xdr:nvSpPr>
      <xdr:spPr>
        <a:xfrm>
          <a:off x="9975075300" y="922993"/>
          <a:ext cx="2940762" cy="27023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fa-IR" sz="1400" b="1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ysClr val="windowText" lastClr="000000">
                    <a:alpha val="40000"/>
                  </a:sys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B Nazanin" panose="00000400000000000000" pitchFamily="2" charset="-78"/>
            </a:rPr>
            <a:t>مجتمع ذوب آهن و فولاد کویر کرمان</a:t>
          </a:r>
          <a:endParaRPr lang="en-US" sz="24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531868</xdr:colOff>
      <xdr:row>0</xdr:row>
      <xdr:rowOff>113234</xdr:rowOff>
    </xdr:from>
    <xdr:to>
      <xdr:col>21</xdr:col>
      <xdr:colOff>197550</xdr:colOff>
      <xdr:row>1</xdr:row>
      <xdr:rowOff>432954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E287DA-D916-41F5-BD0E-6E2689D67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6096950" y="113234"/>
          <a:ext cx="1018232" cy="786445"/>
        </a:xfrm>
        <a:prstGeom prst="rect">
          <a:avLst/>
        </a:prstGeom>
      </xdr:spPr>
    </xdr:pic>
    <xdr:clientData/>
  </xdr:twoCellAnchor>
  <xdr:twoCellAnchor>
    <xdr:from>
      <xdr:col>18</xdr:col>
      <xdr:colOff>11988</xdr:colOff>
      <xdr:row>1</xdr:row>
      <xdr:rowOff>456268</xdr:rowOff>
    </xdr:from>
    <xdr:to>
      <xdr:col>23</xdr:col>
      <xdr:colOff>0</xdr:colOff>
      <xdr:row>2</xdr:row>
      <xdr:rowOff>259773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5A742613-85F1-4EC6-8DC7-D369645A24DC}"/>
            </a:ext>
          </a:extLst>
        </xdr:cNvPr>
        <xdr:cNvSpPr txBox="1"/>
      </xdr:nvSpPr>
      <xdr:spPr>
        <a:xfrm>
          <a:off x="9975075300" y="922993"/>
          <a:ext cx="2940762" cy="27023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fa-IR" sz="1400" b="1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ysClr val="windowText" lastClr="000000">
                    <a:alpha val="40000"/>
                  </a:sys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B Nazanin" panose="00000400000000000000" pitchFamily="2" charset="-78"/>
            </a:rPr>
            <a:t>مجتمع ذوب آهن و فولاد کویر کرمان</a:t>
          </a:r>
          <a:endParaRPr lang="en-US" sz="24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531868</xdr:colOff>
      <xdr:row>0</xdr:row>
      <xdr:rowOff>113234</xdr:rowOff>
    </xdr:from>
    <xdr:to>
      <xdr:col>21</xdr:col>
      <xdr:colOff>197550</xdr:colOff>
      <xdr:row>1</xdr:row>
      <xdr:rowOff>432954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A1BD58-0797-44C2-BCD4-1651A1BB9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6096950" y="113234"/>
          <a:ext cx="1018232" cy="786445"/>
        </a:xfrm>
        <a:prstGeom prst="rect">
          <a:avLst/>
        </a:prstGeom>
      </xdr:spPr>
    </xdr:pic>
    <xdr:clientData/>
  </xdr:twoCellAnchor>
  <xdr:twoCellAnchor>
    <xdr:from>
      <xdr:col>18</xdr:col>
      <xdr:colOff>11988</xdr:colOff>
      <xdr:row>1</xdr:row>
      <xdr:rowOff>456268</xdr:rowOff>
    </xdr:from>
    <xdr:to>
      <xdr:col>23</xdr:col>
      <xdr:colOff>0</xdr:colOff>
      <xdr:row>2</xdr:row>
      <xdr:rowOff>259773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F8911F17-CC35-4309-8D75-33A5672B5242}"/>
            </a:ext>
          </a:extLst>
        </xdr:cNvPr>
        <xdr:cNvSpPr txBox="1"/>
      </xdr:nvSpPr>
      <xdr:spPr>
        <a:xfrm>
          <a:off x="9975075300" y="922993"/>
          <a:ext cx="2940762" cy="27023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fa-IR" sz="1400" b="1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ysClr val="windowText" lastClr="000000">
                    <a:alpha val="40000"/>
                  </a:sys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B Nazanin" panose="00000400000000000000" pitchFamily="2" charset="-78"/>
            </a:rPr>
            <a:t>مجتمع ذوب آهن و فولاد کویر کرمان</a:t>
          </a:r>
          <a:endParaRPr lang="en-US" sz="24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531868</xdr:colOff>
      <xdr:row>0</xdr:row>
      <xdr:rowOff>113234</xdr:rowOff>
    </xdr:from>
    <xdr:to>
      <xdr:col>21</xdr:col>
      <xdr:colOff>197550</xdr:colOff>
      <xdr:row>1</xdr:row>
      <xdr:rowOff>432954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89C535-6565-4BCB-A501-B831E78EC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6096950" y="113234"/>
          <a:ext cx="1018232" cy="786445"/>
        </a:xfrm>
        <a:prstGeom prst="rect">
          <a:avLst/>
        </a:prstGeom>
      </xdr:spPr>
    </xdr:pic>
    <xdr:clientData/>
  </xdr:twoCellAnchor>
  <xdr:twoCellAnchor>
    <xdr:from>
      <xdr:col>18</xdr:col>
      <xdr:colOff>11988</xdr:colOff>
      <xdr:row>1</xdr:row>
      <xdr:rowOff>456268</xdr:rowOff>
    </xdr:from>
    <xdr:to>
      <xdr:col>23</xdr:col>
      <xdr:colOff>0</xdr:colOff>
      <xdr:row>2</xdr:row>
      <xdr:rowOff>259773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7C5C9C0A-A520-4810-98BC-25C065BC2A46}"/>
            </a:ext>
          </a:extLst>
        </xdr:cNvPr>
        <xdr:cNvSpPr txBox="1"/>
      </xdr:nvSpPr>
      <xdr:spPr>
        <a:xfrm>
          <a:off x="9975075300" y="922993"/>
          <a:ext cx="2940762" cy="27023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fa-IR" sz="1400" b="1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ysClr val="windowText" lastClr="000000">
                    <a:alpha val="40000"/>
                  </a:sys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B Nazanin" panose="00000400000000000000" pitchFamily="2" charset="-78"/>
            </a:rPr>
            <a:t>مجتمع ذوب آهن و فولاد کویر کرمان</a:t>
          </a:r>
          <a:endParaRPr lang="en-US" sz="24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531868</xdr:colOff>
      <xdr:row>0</xdr:row>
      <xdr:rowOff>113234</xdr:rowOff>
    </xdr:from>
    <xdr:to>
      <xdr:col>21</xdr:col>
      <xdr:colOff>197550</xdr:colOff>
      <xdr:row>1</xdr:row>
      <xdr:rowOff>432954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3CDE4B-8235-4366-BA58-5878B1505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6096950" y="113234"/>
          <a:ext cx="1018232" cy="786445"/>
        </a:xfrm>
        <a:prstGeom prst="rect">
          <a:avLst/>
        </a:prstGeom>
      </xdr:spPr>
    </xdr:pic>
    <xdr:clientData/>
  </xdr:twoCellAnchor>
  <xdr:twoCellAnchor>
    <xdr:from>
      <xdr:col>18</xdr:col>
      <xdr:colOff>11988</xdr:colOff>
      <xdr:row>1</xdr:row>
      <xdr:rowOff>456268</xdr:rowOff>
    </xdr:from>
    <xdr:to>
      <xdr:col>23</xdr:col>
      <xdr:colOff>0</xdr:colOff>
      <xdr:row>2</xdr:row>
      <xdr:rowOff>259773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423510B4-A90C-471D-A15F-B82EAD9F3C8F}"/>
            </a:ext>
          </a:extLst>
        </xdr:cNvPr>
        <xdr:cNvSpPr txBox="1"/>
      </xdr:nvSpPr>
      <xdr:spPr>
        <a:xfrm>
          <a:off x="9975075300" y="922993"/>
          <a:ext cx="2940762" cy="27023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fa-IR" sz="1400" b="1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ysClr val="windowText" lastClr="000000">
                    <a:alpha val="40000"/>
                  </a:sys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B Nazanin" panose="00000400000000000000" pitchFamily="2" charset="-78"/>
            </a:rPr>
            <a:t>مجتمع ذوب آهن و فولاد کویر کرمان</a:t>
          </a:r>
          <a:endParaRPr lang="en-US" sz="24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531868</xdr:colOff>
      <xdr:row>0</xdr:row>
      <xdr:rowOff>113234</xdr:rowOff>
    </xdr:from>
    <xdr:to>
      <xdr:col>21</xdr:col>
      <xdr:colOff>197550</xdr:colOff>
      <xdr:row>1</xdr:row>
      <xdr:rowOff>432954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8B9136-B5DB-4A9B-B010-E804A1229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6096950" y="113234"/>
          <a:ext cx="1018232" cy="786445"/>
        </a:xfrm>
        <a:prstGeom prst="rect">
          <a:avLst/>
        </a:prstGeom>
      </xdr:spPr>
    </xdr:pic>
    <xdr:clientData/>
  </xdr:twoCellAnchor>
  <xdr:twoCellAnchor>
    <xdr:from>
      <xdr:col>18</xdr:col>
      <xdr:colOff>11988</xdr:colOff>
      <xdr:row>1</xdr:row>
      <xdr:rowOff>456268</xdr:rowOff>
    </xdr:from>
    <xdr:to>
      <xdr:col>23</xdr:col>
      <xdr:colOff>0</xdr:colOff>
      <xdr:row>2</xdr:row>
      <xdr:rowOff>259773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44BE6810-BDE8-4CA3-9E43-E4C58334DFAC}"/>
            </a:ext>
          </a:extLst>
        </xdr:cNvPr>
        <xdr:cNvSpPr txBox="1"/>
      </xdr:nvSpPr>
      <xdr:spPr>
        <a:xfrm>
          <a:off x="9975075300" y="922993"/>
          <a:ext cx="2940762" cy="27023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fa-IR" sz="1400" b="1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ysClr val="windowText" lastClr="000000">
                    <a:alpha val="40000"/>
                  </a:sys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B Nazanin" panose="00000400000000000000" pitchFamily="2" charset="-78"/>
            </a:rPr>
            <a:t>مجتمع ذوب آهن و فولاد کویر کرمان</a:t>
          </a:r>
          <a:endParaRPr lang="en-US" sz="24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531868</xdr:colOff>
      <xdr:row>0</xdr:row>
      <xdr:rowOff>113234</xdr:rowOff>
    </xdr:from>
    <xdr:to>
      <xdr:col>21</xdr:col>
      <xdr:colOff>197550</xdr:colOff>
      <xdr:row>1</xdr:row>
      <xdr:rowOff>432954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1C4EEE-CFE0-4FC5-805E-5315E5B14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6096950" y="113234"/>
          <a:ext cx="1018232" cy="786445"/>
        </a:xfrm>
        <a:prstGeom prst="rect">
          <a:avLst/>
        </a:prstGeom>
      </xdr:spPr>
    </xdr:pic>
    <xdr:clientData/>
  </xdr:twoCellAnchor>
  <xdr:twoCellAnchor>
    <xdr:from>
      <xdr:col>18</xdr:col>
      <xdr:colOff>11988</xdr:colOff>
      <xdr:row>1</xdr:row>
      <xdr:rowOff>456268</xdr:rowOff>
    </xdr:from>
    <xdr:to>
      <xdr:col>23</xdr:col>
      <xdr:colOff>0</xdr:colOff>
      <xdr:row>2</xdr:row>
      <xdr:rowOff>259773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755EB97C-13D4-442E-AE7E-AAE8B984F4FF}"/>
            </a:ext>
          </a:extLst>
        </xdr:cNvPr>
        <xdr:cNvSpPr txBox="1"/>
      </xdr:nvSpPr>
      <xdr:spPr>
        <a:xfrm>
          <a:off x="9975075300" y="922993"/>
          <a:ext cx="2940762" cy="27023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fa-IR" sz="1400" b="1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ysClr val="windowText" lastClr="000000">
                    <a:alpha val="40000"/>
                  </a:sys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B Nazanin" panose="00000400000000000000" pitchFamily="2" charset="-78"/>
            </a:rPr>
            <a:t>مجتمع ذوب آهن و فولاد کویر کرمان</a:t>
          </a:r>
          <a:endParaRPr lang="en-US" sz="24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531868</xdr:colOff>
      <xdr:row>0</xdr:row>
      <xdr:rowOff>113234</xdr:rowOff>
    </xdr:from>
    <xdr:to>
      <xdr:col>21</xdr:col>
      <xdr:colOff>197550</xdr:colOff>
      <xdr:row>1</xdr:row>
      <xdr:rowOff>432954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36CAD3-A0AB-4821-B27A-E74434D68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6096950" y="113234"/>
          <a:ext cx="1018232" cy="786445"/>
        </a:xfrm>
        <a:prstGeom prst="rect">
          <a:avLst/>
        </a:prstGeom>
      </xdr:spPr>
    </xdr:pic>
    <xdr:clientData/>
  </xdr:twoCellAnchor>
  <xdr:twoCellAnchor>
    <xdr:from>
      <xdr:col>18</xdr:col>
      <xdr:colOff>11988</xdr:colOff>
      <xdr:row>1</xdr:row>
      <xdr:rowOff>456268</xdr:rowOff>
    </xdr:from>
    <xdr:to>
      <xdr:col>23</xdr:col>
      <xdr:colOff>0</xdr:colOff>
      <xdr:row>2</xdr:row>
      <xdr:rowOff>259773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F3B8006F-AB83-48F4-B368-FBCFEE30BE25}"/>
            </a:ext>
          </a:extLst>
        </xdr:cNvPr>
        <xdr:cNvSpPr txBox="1"/>
      </xdr:nvSpPr>
      <xdr:spPr>
        <a:xfrm>
          <a:off x="9975075300" y="922993"/>
          <a:ext cx="2940762" cy="27023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fa-IR" sz="1400" b="1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ysClr val="windowText" lastClr="000000">
                    <a:alpha val="40000"/>
                  </a:sys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B Nazanin" panose="00000400000000000000" pitchFamily="2" charset="-78"/>
            </a:rPr>
            <a:t>مجتمع ذوب آهن و فولاد کویر کرمان</a:t>
          </a:r>
          <a:endParaRPr lang="en-US" sz="24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531868</xdr:colOff>
      <xdr:row>0</xdr:row>
      <xdr:rowOff>113234</xdr:rowOff>
    </xdr:from>
    <xdr:to>
      <xdr:col>21</xdr:col>
      <xdr:colOff>197550</xdr:colOff>
      <xdr:row>1</xdr:row>
      <xdr:rowOff>432954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893000-CE99-4F7E-ACFF-5209D2A5D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6096950" y="113234"/>
          <a:ext cx="1018232" cy="786445"/>
        </a:xfrm>
        <a:prstGeom prst="rect">
          <a:avLst/>
        </a:prstGeom>
      </xdr:spPr>
    </xdr:pic>
    <xdr:clientData/>
  </xdr:twoCellAnchor>
  <xdr:twoCellAnchor>
    <xdr:from>
      <xdr:col>18</xdr:col>
      <xdr:colOff>11988</xdr:colOff>
      <xdr:row>1</xdr:row>
      <xdr:rowOff>456268</xdr:rowOff>
    </xdr:from>
    <xdr:to>
      <xdr:col>23</xdr:col>
      <xdr:colOff>0</xdr:colOff>
      <xdr:row>2</xdr:row>
      <xdr:rowOff>259773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B6D53887-0AAB-4E79-885F-50DE7DFA65C6}"/>
            </a:ext>
          </a:extLst>
        </xdr:cNvPr>
        <xdr:cNvSpPr txBox="1"/>
      </xdr:nvSpPr>
      <xdr:spPr>
        <a:xfrm>
          <a:off x="9975075300" y="922993"/>
          <a:ext cx="2940762" cy="27023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fa-IR" sz="1400" b="1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ysClr val="windowText" lastClr="000000">
                    <a:alpha val="40000"/>
                  </a:sys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B Nazanin" panose="00000400000000000000" pitchFamily="2" charset="-78"/>
            </a:rPr>
            <a:t>مجتمع ذوب آهن و فولاد کویر کرمان</a:t>
          </a:r>
          <a:endParaRPr lang="en-US" sz="24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531868</xdr:colOff>
      <xdr:row>0</xdr:row>
      <xdr:rowOff>113234</xdr:rowOff>
    </xdr:from>
    <xdr:to>
      <xdr:col>21</xdr:col>
      <xdr:colOff>197550</xdr:colOff>
      <xdr:row>1</xdr:row>
      <xdr:rowOff>432954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350D72-08E8-42D0-9510-417F3D2FF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6096950" y="113234"/>
          <a:ext cx="1018232" cy="786445"/>
        </a:xfrm>
        <a:prstGeom prst="rect">
          <a:avLst/>
        </a:prstGeom>
      </xdr:spPr>
    </xdr:pic>
    <xdr:clientData/>
  </xdr:twoCellAnchor>
  <xdr:twoCellAnchor>
    <xdr:from>
      <xdr:col>18</xdr:col>
      <xdr:colOff>11988</xdr:colOff>
      <xdr:row>1</xdr:row>
      <xdr:rowOff>456268</xdr:rowOff>
    </xdr:from>
    <xdr:to>
      <xdr:col>23</xdr:col>
      <xdr:colOff>0</xdr:colOff>
      <xdr:row>2</xdr:row>
      <xdr:rowOff>259773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21C572F7-8CA0-4854-8EB3-72CADE55B193}"/>
            </a:ext>
          </a:extLst>
        </xdr:cNvPr>
        <xdr:cNvSpPr txBox="1"/>
      </xdr:nvSpPr>
      <xdr:spPr>
        <a:xfrm>
          <a:off x="9975075300" y="922993"/>
          <a:ext cx="2940762" cy="27023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fa-IR" sz="1400" b="1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ysClr val="windowText" lastClr="000000">
                    <a:alpha val="40000"/>
                  </a:sys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B Nazanin" panose="00000400000000000000" pitchFamily="2" charset="-78"/>
            </a:rPr>
            <a:t>مجتمع ذوب آهن و فولاد کویر کرمان</a:t>
          </a:r>
          <a:endParaRPr lang="en-US" sz="24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531868</xdr:colOff>
      <xdr:row>0</xdr:row>
      <xdr:rowOff>113234</xdr:rowOff>
    </xdr:from>
    <xdr:to>
      <xdr:col>21</xdr:col>
      <xdr:colOff>197550</xdr:colOff>
      <xdr:row>1</xdr:row>
      <xdr:rowOff>432954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F18A3D-D1F6-431D-A556-45ADB7789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6096950" y="113234"/>
          <a:ext cx="1018232" cy="786445"/>
        </a:xfrm>
        <a:prstGeom prst="rect">
          <a:avLst/>
        </a:prstGeom>
      </xdr:spPr>
    </xdr:pic>
    <xdr:clientData/>
  </xdr:twoCellAnchor>
  <xdr:twoCellAnchor>
    <xdr:from>
      <xdr:col>18</xdr:col>
      <xdr:colOff>11988</xdr:colOff>
      <xdr:row>1</xdr:row>
      <xdr:rowOff>456268</xdr:rowOff>
    </xdr:from>
    <xdr:to>
      <xdr:col>23</xdr:col>
      <xdr:colOff>0</xdr:colOff>
      <xdr:row>2</xdr:row>
      <xdr:rowOff>259773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D7391869-8E87-49BA-8107-113198703F88}"/>
            </a:ext>
          </a:extLst>
        </xdr:cNvPr>
        <xdr:cNvSpPr txBox="1"/>
      </xdr:nvSpPr>
      <xdr:spPr>
        <a:xfrm>
          <a:off x="9975075300" y="922993"/>
          <a:ext cx="2940762" cy="27023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fa-IR" sz="1400" b="1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ysClr val="windowText" lastClr="000000">
                    <a:alpha val="40000"/>
                  </a:sys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B Nazanin" panose="00000400000000000000" pitchFamily="2" charset="-78"/>
            </a:rPr>
            <a:t>مجتمع ذوب آهن و فولاد کویر کرمان</a:t>
          </a:r>
          <a:endParaRPr lang="en-US" sz="24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531868</xdr:colOff>
      <xdr:row>0</xdr:row>
      <xdr:rowOff>113234</xdr:rowOff>
    </xdr:from>
    <xdr:to>
      <xdr:col>21</xdr:col>
      <xdr:colOff>197550</xdr:colOff>
      <xdr:row>1</xdr:row>
      <xdr:rowOff>432954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DC16B7-63B4-4D44-B6F0-7B67FD5DB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6096950" y="113234"/>
          <a:ext cx="1018232" cy="786445"/>
        </a:xfrm>
        <a:prstGeom prst="rect">
          <a:avLst/>
        </a:prstGeom>
      </xdr:spPr>
    </xdr:pic>
    <xdr:clientData/>
  </xdr:twoCellAnchor>
  <xdr:twoCellAnchor>
    <xdr:from>
      <xdr:col>18</xdr:col>
      <xdr:colOff>11988</xdr:colOff>
      <xdr:row>1</xdr:row>
      <xdr:rowOff>456268</xdr:rowOff>
    </xdr:from>
    <xdr:to>
      <xdr:col>23</xdr:col>
      <xdr:colOff>0</xdr:colOff>
      <xdr:row>2</xdr:row>
      <xdr:rowOff>259773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231E59C7-0A55-4FAA-9DB3-4403F7D30B01}"/>
            </a:ext>
          </a:extLst>
        </xdr:cNvPr>
        <xdr:cNvSpPr txBox="1"/>
      </xdr:nvSpPr>
      <xdr:spPr>
        <a:xfrm>
          <a:off x="9975075300" y="922993"/>
          <a:ext cx="2940762" cy="27023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fa-IR" sz="1400" b="1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ysClr val="windowText" lastClr="000000">
                    <a:alpha val="40000"/>
                  </a:sys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B Nazanin" panose="00000400000000000000" pitchFamily="2" charset="-78"/>
            </a:rPr>
            <a:t>مجتمع ذوب آهن و فولاد کویر کرمان</a:t>
          </a:r>
          <a:endParaRPr lang="en-US" sz="24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531868</xdr:colOff>
      <xdr:row>0</xdr:row>
      <xdr:rowOff>113234</xdr:rowOff>
    </xdr:from>
    <xdr:to>
      <xdr:col>21</xdr:col>
      <xdr:colOff>197550</xdr:colOff>
      <xdr:row>1</xdr:row>
      <xdr:rowOff>432954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7B19A9-CFCB-4C33-AF3F-C6DA039EB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6096950" y="113234"/>
          <a:ext cx="1018232" cy="786445"/>
        </a:xfrm>
        <a:prstGeom prst="rect">
          <a:avLst/>
        </a:prstGeom>
      </xdr:spPr>
    </xdr:pic>
    <xdr:clientData/>
  </xdr:twoCellAnchor>
  <xdr:twoCellAnchor>
    <xdr:from>
      <xdr:col>18</xdr:col>
      <xdr:colOff>11988</xdr:colOff>
      <xdr:row>1</xdr:row>
      <xdr:rowOff>456268</xdr:rowOff>
    </xdr:from>
    <xdr:to>
      <xdr:col>23</xdr:col>
      <xdr:colOff>0</xdr:colOff>
      <xdr:row>2</xdr:row>
      <xdr:rowOff>259773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76201B2-C23D-414B-8BA5-C632B6E9AF06}"/>
            </a:ext>
          </a:extLst>
        </xdr:cNvPr>
        <xdr:cNvSpPr txBox="1"/>
      </xdr:nvSpPr>
      <xdr:spPr>
        <a:xfrm>
          <a:off x="9975075300" y="922993"/>
          <a:ext cx="2940762" cy="27023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fa-IR" sz="1400" b="1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ysClr val="windowText" lastClr="000000">
                    <a:alpha val="40000"/>
                  </a:sys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B Nazanin" panose="00000400000000000000" pitchFamily="2" charset="-78"/>
            </a:rPr>
            <a:t>مجتمع ذوب آهن و فولاد کویر کرمان</a:t>
          </a:r>
          <a:endParaRPr lang="en-US" sz="24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531868</xdr:colOff>
      <xdr:row>0</xdr:row>
      <xdr:rowOff>113234</xdr:rowOff>
    </xdr:from>
    <xdr:to>
      <xdr:col>21</xdr:col>
      <xdr:colOff>197550</xdr:colOff>
      <xdr:row>1</xdr:row>
      <xdr:rowOff>432954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FB2A5E-385B-406E-A23B-E6D652DDD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6096950" y="113234"/>
          <a:ext cx="1018232" cy="786445"/>
        </a:xfrm>
        <a:prstGeom prst="rect">
          <a:avLst/>
        </a:prstGeom>
      </xdr:spPr>
    </xdr:pic>
    <xdr:clientData/>
  </xdr:twoCellAnchor>
  <xdr:twoCellAnchor>
    <xdr:from>
      <xdr:col>18</xdr:col>
      <xdr:colOff>11988</xdr:colOff>
      <xdr:row>1</xdr:row>
      <xdr:rowOff>456268</xdr:rowOff>
    </xdr:from>
    <xdr:to>
      <xdr:col>23</xdr:col>
      <xdr:colOff>0</xdr:colOff>
      <xdr:row>2</xdr:row>
      <xdr:rowOff>259773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DB745D37-5A50-43DC-96FF-919FCC234A4A}"/>
            </a:ext>
          </a:extLst>
        </xdr:cNvPr>
        <xdr:cNvSpPr txBox="1"/>
      </xdr:nvSpPr>
      <xdr:spPr>
        <a:xfrm>
          <a:off x="9975075300" y="922993"/>
          <a:ext cx="2940762" cy="27023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fa-IR" sz="1400" b="1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ysClr val="windowText" lastClr="000000">
                    <a:alpha val="40000"/>
                  </a:sys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B Nazanin" panose="00000400000000000000" pitchFamily="2" charset="-78"/>
            </a:rPr>
            <a:t>مجتمع ذوب آهن و فولاد کویر کرمان</a:t>
          </a:r>
          <a:endParaRPr lang="en-US" sz="24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531868</xdr:colOff>
      <xdr:row>0</xdr:row>
      <xdr:rowOff>113234</xdr:rowOff>
    </xdr:from>
    <xdr:to>
      <xdr:col>21</xdr:col>
      <xdr:colOff>197550</xdr:colOff>
      <xdr:row>1</xdr:row>
      <xdr:rowOff>432954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A27F20-7E15-440F-B4C3-261F594B2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6096950" y="113234"/>
          <a:ext cx="1018232" cy="786445"/>
        </a:xfrm>
        <a:prstGeom prst="rect">
          <a:avLst/>
        </a:prstGeom>
      </xdr:spPr>
    </xdr:pic>
    <xdr:clientData/>
  </xdr:twoCellAnchor>
  <xdr:twoCellAnchor>
    <xdr:from>
      <xdr:col>18</xdr:col>
      <xdr:colOff>11988</xdr:colOff>
      <xdr:row>1</xdr:row>
      <xdr:rowOff>456268</xdr:rowOff>
    </xdr:from>
    <xdr:to>
      <xdr:col>23</xdr:col>
      <xdr:colOff>0</xdr:colOff>
      <xdr:row>2</xdr:row>
      <xdr:rowOff>259773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CBA0BF49-D8E8-4FCC-91DC-476F5182E623}"/>
            </a:ext>
          </a:extLst>
        </xdr:cNvPr>
        <xdr:cNvSpPr txBox="1"/>
      </xdr:nvSpPr>
      <xdr:spPr>
        <a:xfrm>
          <a:off x="9975075300" y="922993"/>
          <a:ext cx="2940762" cy="27023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fa-IR" sz="1400" b="1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ysClr val="windowText" lastClr="000000">
                    <a:alpha val="40000"/>
                  </a:sys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B Nazanin" panose="00000400000000000000" pitchFamily="2" charset="-78"/>
            </a:rPr>
            <a:t>مجتمع ذوب آهن و فولاد کویر کرمان</a:t>
          </a:r>
          <a:endParaRPr lang="en-US" sz="24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531868</xdr:colOff>
      <xdr:row>0</xdr:row>
      <xdr:rowOff>113234</xdr:rowOff>
    </xdr:from>
    <xdr:to>
      <xdr:col>21</xdr:col>
      <xdr:colOff>197550</xdr:colOff>
      <xdr:row>1</xdr:row>
      <xdr:rowOff>432954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CD15B7-EEA0-4A1C-9179-CA0C521B8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6096950" y="113234"/>
          <a:ext cx="1018232" cy="786445"/>
        </a:xfrm>
        <a:prstGeom prst="rect">
          <a:avLst/>
        </a:prstGeom>
      </xdr:spPr>
    </xdr:pic>
    <xdr:clientData/>
  </xdr:twoCellAnchor>
  <xdr:twoCellAnchor>
    <xdr:from>
      <xdr:col>18</xdr:col>
      <xdr:colOff>11988</xdr:colOff>
      <xdr:row>1</xdr:row>
      <xdr:rowOff>456268</xdr:rowOff>
    </xdr:from>
    <xdr:to>
      <xdr:col>23</xdr:col>
      <xdr:colOff>0</xdr:colOff>
      <xdr:row>2</xdr:row>
      <xdr:rowOff>259773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7DFBA4DE-8872-4894-8362-697C028D74C0}"/>
            </a:ext>
          </a:extLst>
        </xdr:cNvPr>
        <xdr:cNvSpPr txBox="1"/>
      </xdr:nvSpPr>
      <xdr:spPr>
        <a:xfrm>
          <a:off x="9975075300" y="922993"/>
          <a:ext cx="2940762" cy="27023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fa-IR" sz="1400" b="1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ysClr val="windowText" lastClr="000000">
                    <a:alpha val="40000"/>
                  </a:sys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B Nazanin" panose="00000400000000000000" pitchFamily="2" charset="-78"/>
            </a:rPr>
            <a:t>مجتمع ذوب آهن و فولاد کویر کرمان</a:t>
          </a:r>
          <a:endParaRPr lang="en-US" sz="24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531868</xdr:colOff>
      <xdr:row>0</xdr:row>
      <xdr:rowOff>113234</xdr:rowOff>
    </xdr:from>
    <xdr:to>
      <xdr:col>21</xdr:col>
      <xdr:colOff>197550</xdr:colOff>
      <xdr:row>1</xdr:row>
      <xdr:rowOff>432954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11347B-C5AE-400B-90CD-0F9512AE1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6096950" y="113234"/>
          <a:ext cx="1018232" cy="786445"/>
        </a:xfrm>
        <a:prstGeom prst="rect">
          <a:avLst/>
        </a:prstGeom>
      </xdr:spPr>
    </xdr:pic>
    <xdr:clientData/>
  </xdr:twoCellAnchor>
  <xdr:twoCellAnchor>
    <xdr:from>
      <xdr:col>18</xdr:col>
      <xdr:colOff>11988</xdr:colOff>
      <xdr:row>1</xdr:row>
      <xdr:rowOff>456268</xdr:rowOff>
    </xdr:from>
    <xdr:to>
      <xdr:col>23</xdr:col>
      <xdr:colOff>0</xdr:colOff>
      <xdr:row>2</xdr:row>
      <xdr:rowOff>259773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733CC4AA-A2B7-4FA1-8E71-CE9B5490FC4B}"/>
            </a:ext>
          </a:extLst>
        </xdr:cNvPr>
        <xdr:cNvSpPr txBox="1"/>
      </xdr:nvSpPr>
      <xdr:spPr>
        <a:xfrm>
          <a:off x="9975075300" y="922993"/>
          <a:ext cx="2940762" cy="27023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fa-IR" sz="1400" b="1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ysClr val="windowText" lastClr="000000">
                    <a:alpha val="40000"/>
                  </a:sys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B Nazanin" panose="00000400000000000000" pitchFamily="2" charset="-78"/>
            </a:rPr>
            <a:t>مجتمع ذوب آهن و فولاد کویر کرمان</a:t>
          </a:r>
          <a:endParaRPr lang="en-US" sz="24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531868</xdr:colOff>
      <xdr:row>0</xdr:row>
      <xdr:rowOff>113234</xdr:rowOff>
    </xdr:from>
    <xdr:to>
      <xdr:col>21</xdr:col>
      <xdr:colOff>197550</xdr:colOff>
      <xdr:row>1</xdr:row>
      <xdr:rowOff>432954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E89BBC-62E8-4A92-A145-BC424EE77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6096950" y="113234"/>
          <a:ext cx="1018232" cy="786445"/>
        </a:xfrm>
        <a:prstGeom prst="rect">
          <a:avLst/>
        </a:prstGeom>
      </xdr:spPr>
    </xdr:pic>
    <xdr:clientData/>
  </xdr:twoCellAnchor>
  <xdr:twoCellAnchor>
    <xdr:from>
      <xdr:col>18</xdr:col>
      <xdr:colOff>11988</xdr:colOff>
      <xdr:row>1</xdr:row>
      <xdr:rowOff>456268</xdr:rowOff>
    </xdr:from>
    <xdr:to>
      <xdr:col>23</xdr:col>
      <xdr:colOff>0</xdr:colOff>
      <xdr:row>2</xdr:row>
      <xdr:rowOff>259773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2380D666-B68B-4133-939F-AC8EDAB028D5}"/>
            </a:ext>
          </a:extLst>
        </xdr:cNvPr>
        <xdr:cNvSpPr txBox="1"/>
      </xdr:nvSpPr>
      <xdr:spPr>
        <a:xfrm>
          <a:off x="9975075300" y="922993"/>
          <a:ext cx="2940762" cy="27023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fa-IR" sz="1400" b="1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ysClr val="windowText" lastClr="000000">
                    <a:alpha val="40000"/>
                  </a:sys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B Nazanin" panose="00000400000000000000" pitchFamily="2" charset="-78"/>
            </a:rPr>
            <a:t>مجتمع ذوب آهن و فولاد کویر کرمان</a:t>
          </a:r>
          <a:endParaRPr lang="en-US" sz="24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531868</xdr:colOff>
      <xdr:row>0</xdr:row>
      <xdr:rowOff>113234</xdr:rowOff>
    </xdr:from>
    <xdr:to>
      <xdr:col>21</xdr:col>
      <xdr:colOff>197550</xdr:colOff>
      <xdr:row>1</xdr:row>
      <xdr:rowOff>432954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566A1D-720D-4B44-A41E-9908A222C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6096950" y="113234"/>
          <a:ext cx="1018232" cy="786445"/>
        </a:xfrm>
        <a:prstGeom prst="rect">
          <a:avLst/>
        </a:prstGeom>
      </xdr:spPr>
    </xdr:pic>
    <xdr:clientData/>
  </xdr:twoCellAnchor>
  <xdr:twoCellAnchor>
    <xdr:from>
      <xdr:col>18</xdr:col>
      <xdr:colOff>11988</xdr:colOff>
      <xdr:row>1</xdr:row>
      <xdr:rowOff>456268</xdr:rowOff>
    </xdr:from>
    <xdr:to>
      <xdr:col>23</xdr:col>
      <xdr:colOff>0</xdr:colOff>
      <xdr:row>2</xdr:row>
      <xdr:rowOff>259773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57CC282-EB5B-4BCD-B7C2-75ECD399F664}"/>
            </a:ext>
          </a:extLst>
        </xdr:cNvPr>
        <xdr:cNvSpPr txBox="1"/>
      </xdr:nvSpPr>
      <xdr:spPr>
        <a:xfrm>
          <a:off x="9975075300" y="922993"/>
          <a:ext cx="2940762" cy="27023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fa-IR" sz="1400" b="1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ysClr val="windowText" lastClr="000000">
                    <a:alpha val="40000"/>
                  </a:sys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B Nazanin" panose="00000400000000000000" pitchFamily="2" charset="-78"/>
            </a:rPr>
            <a:t>مجتمع ذوب آهن و فولاد کویر کرمان</a:t>
          </a:r>
          <a:endParaRPr lang="en-US" sz="24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A0CC8-CA59-470E-8039-CAF3CD3887FE}">
  <sheetPr>
    <tabColor theme="5"/>
    <pageSetUpPr fitToPage="1"/>
  </sheetPr>
  <dimension ref="R1:BJ32"/>
  <sheetViews>
    <sheetView showGridLines="0" rightToLeft="1" topLeftCell="O1" zoomScale="55" zoomScaleNormal="55" zoomScalePageLayoutView="40" workbookViewId="0">
      <selection activeCell="AP10" sqref="AP10"/>
    </sheetView>
  </sheetViews>
  <sheetFormatPr defaultColWidth="9.140625" defaultRowHeight="15"/>
  <cols>
    <col min="1" max="18" width="9.140625" style="4"/>
    <col min="19" max="19" width="5.7109375" style="4" customWidth="1"/>
    <col min="20" max="20" width="9.5703125" style="3" customWidth="1"/>
    <col min="21" max="21" width="10.7109375" style="3" customWidth="1"/>
    <col min="22" max="22" width="9.42578125" style="88" customWidth="1"/>
    <col min="23" max="23" width="8.85546875" style="88" customWidth="1"/>
    <col min="24" max="24" width="14.42578125" style="3" customWidth="1"/>
    <col min="25" max="25" width="14.7109375" style="3" customWidth="1"/>
    <col min="26" max="26" width="15.140625" style="88" customWidth="1"/>
    <col min="27" max="27" width="9.5703125" style="3" hidden="1" customWidth="1"/>
    <col min="28" max="28" width="10" style="3" hidden="1" customWidth="1"/>
    <col min="29" max="29" width="8.140625" style="3" customWidth="1"/>
    <col min="30" max="30" width="8.5703125" style="3" customWidth="1"/>
    <col min="31" max="31" width="12.42578125" style="3" customWidth="1"/>
    <col min="32" max="32" width="10.5703125" style="3" customWidth="1"/>
    <col min="33" max="33" width="9.5703125" style="3" customWidth="1"/>
    <col min="34" max="34" width="11.42578125" style="3" customWidth="1"/>
    <col min="35" max="35" width="9.42578125" style="3" customWidth="1"/>
    <col min="36" max="36" width="9.28515625" style="3" customWidth="1"/>
    <col min="37" max="37" width="6.7109375" style="3" hidden="1" customWidth="1"/>
    <col min="38" max="42" width="6.7109375" style="3" customWidth="1"/>
    <col min="43" max="43" width="8.140625" style="3" customWidth="1"/>
    <col min="44" max="44" width="6.7109375" style="3" hidden="1" customWidth="1"/>
    <col min="45" max="45" width="10.42578125" style="3" customWidth="1"/>
    <col min="46" max="46" width="8.7109375" style="3" customWidth="1"/>
    <col min="47" max="47" width="8.5703125" style="3" customWidth="1"/>
    <col min="48" max="48" width="8.7109375" style="3" customWidth="1"/>
    <col min="49" max="49" width="9.5703125" style="3" customWidth="1"/>
    <col min="50" max="50" width="12.42578125" style="88" customWidth="1"/>
    <col min="51" max="51" width="11.85546875" style="3" customWidth="1"/>
    <col min="52" max="52" width="11.5703125" style="3" customWidth="1"/>
    <col min="53" max="53" width="13.42578125" style="3" customWidth="1"/>
    <col min="54" max="54" width="13.5703125" style="4" customWidth="1"/>
    <col min="55" max="57" width="9.140625" style="4"/>
    <col min="58" max="58" width="25" style="4" customWidth="1"/>
    <col min="59" max="61" width="9.140625" style="4"/>
    <col min="62" max="62" width="23.5703125" style="4" customWidth="1"/>
    <col min="63" max="16384" width="9.140625" style="4"/>
  </cols>
  <sheetData>
    <row r="1" spans="19:54" ht="36.75" customHeight="1" thickBot="1">
      <c r="S1" s="180"/>
      <c r="T1" s="181"/>
      <c r="U1" s="181"/>
      <c r="V1" s="181"/>
      <c r="W1" s="181"/>
      <c r="X1" s="182" t="s">
        <v>0</v>
      </c>
      <c r="Y1" s="183"/>
      <c r="Z1" s="1" t="s">
        <v>1</v>
      </c>
      <c r="AA1" s="2"/>
      <c r="AC1" s="188" t="s">
        <v>2</v>
      </c>
      <c r="AD1" s="189"/>
      <c r="AE1" s="189"/>
      <c r="AF1" s="190" t="s">
        <v>75</v>
      </c>
      <c r="AG1" s="191"/>
      <c r="AH1" s="192"/>
      <c r="AI1" s="193" t="s">
        <v>3</v>
      </c>
      <c r="AJ1" s="194"/>
      <c r="AK1" s="194"/>
      <c r="AL1" s="195"/>
      <c r="AM1" s="196" t="s">
        <v>76</v>
      </c>
      <c r="AN1" s="197"/>
      <c r="AO1" s="197"/>
      <c r="AP1" s="198"/>
      <c r="AQ1" s="203" t="s">
        <v>4</v>
      </c>
      <c r="AR1" s="204"/>
      <c r="AS1" s="204"/>
      <c r="AT1" s="205"/>
      <c r="AU1" s="206" t="s">
        <v>74</v>
      </c>
      <c r="AV1" s="207"/>
      <c r="AW1" s="208"/>
      <c r="AX1" s="211" t="s">
        <v>123</v>
      </c>
      <c r="AY1" s="211"/>
      <c r="AZ1" s="211"/>
      <c r="BA1" s="211"/>
      <c r="BB1" s="211"/>
    </row>
    <row r="2" spans="19:54" ht="36.75" customHeight="1" thickBot="1">
      <c r="S2" s="180"/>
      <c r="T2" s="181"/>
      <c r="U2" s="181"/>
      <c r="V2" s="181"/>
      <c r="W2" s="181"/>
      <c r="X2" s="184"/>
      <c r="Y2" s="185"/>
      <c r="Z2" s="5" t="s">
        <v>5</v>
      </c>
      <c r="AA2" s="89"/>
      <c r="AC2" s="188" t="s">
        <v>2</v>
      </c>
      <c r="AD2" s="189"/>
      <c r="AE2" s="212"/>
      <c r="AF2" s="190" t="s">
        <v>78</v>
      </c>
      <c r="AG2" s="191"/>
      <c r="AH2" s="192"/>
      <c r="AI2" s="193" t="s">
        <v>3</v>
      </c>
      <c r="AJ2" s="194"/>
      <c r="AK2" s="194"/>
      <c r="AL2" s="195"/>
      <c r="AM2" s="202" t="s">
        <v>79</v>
      </c>
      <c r="AN2" s="202"/>
      <c r="AO2" s="202"/>
      <c r="AP2" s="202"/>
      <c r="AQ2" s="203" t="s">
        <v>4</v>
      </c>
      <c r="AR2" s="204"/>
      <c r="AS2" s="204"/>
      <c r="AT2" s="205"/>
      <c r="AU2" s="213" t="s">
        <v>77</v>
      </c>
      <c r="AV2" s="213"/>
      <c r="AW2" s="213"/>
      <c r="AX2" s="211"/>
      <c r="AY2" s="211"/>
      <c r="AZ2" s="211"/>
      <c r="BA2" s="211"/>
      <c r="BB2" s="211"/>
    </row>
    <row r="3" spans="19:54" ht="38.25" customHeight="1" thickBot="1">
      <c r="S3" s="181"/>
      <c r="T3" s="181"/>
      <c r="U3" s="181"/>
      <c r="V3" s="181"/>
      <c r="W3" s="181"/>
      <c r="X3" s="186"/>
      <c r="Y3" s="187"/>
      <c r="Z3" s="90" t="s">
        <v>65</v>
      </c>
      <c r="AA3" s="6"/>
      <c r="AC3" s="188" t="s">
        <v>6</v>
      </c>
      <c r="AD3" s="189"/>
      <c r="AE3" s="212"/>
      <c r="AF3" s="190" t="s">
        <v>81</v>
      </c>
      <c r="AG3" s="191"/>
      <c r="AH3" s="192"/>
      <c r="AI3" s="199" t="s">
        <v>7</v>
      </c>
      <c r="AJ3" s="200"/>
      <c r="AK3" s="200"/>
      <c r="AL3" s="201"/>
      <c r="AM3" s="202" t="s">
        <v>82</v>
      </c>
      <c r="AN3" s="202"/>
      <c r="AO3" s="202"/>
      <c r="AP3" s="202"/>
      <c r="AQ3" s="203" t="s">
        <v>4</v>
      </c>
      <c r="AR3" s="204"/>
      <c r="AS3" s="204"/>
      <c r="AT3" s="214"/>
      <c r="AU3" s="215" t="s">
        <v>80</v>
      </c>
      <c r="AV3" s="216"/>
      <c r="AW3" s="217"/>
      <c r="AX3" s="211"/>
      <c r="AY3" s="211"/>
      <c r="AZ3" s="211"/>
      <c r="BA3" s="211"/>
      <c r="BB3" s="211"/>
    </row>
    <row r="4" spans="19:54" ht="34.5" customHeight="1" thickBot="1">
      <c r="S4" s="225" t="s">
        <v>8</v>
      </c>
      <c r="T4" s="226"/>
      <c r="U4" s="226"/>
      <c r="V4" s="226"/>
      <c r="W4" s="226"/>
      <c r="X4" s="227"/>
      <c r="Y4" s="227"/>
      <c r="Z4" s="228"/>
      <c r="AA4" s="229" t="s">
        <v>9</v>
      </c>
      <c r="AB4" s="230"/>
      <c r="AC4" s="231" t="s">
        <v>10</v>
      </c>
      <c r="AD4" s="232"/>
      <c r="AE4" s="233" t="s">
        <v>11</v>
      </c>
      <c r="AF4" s="234"/>
      <c r="AG4" s="234"/>
      <c r="AH4" s="234"/>
      <c r="AI4" s="234"/>
      <c r="AJ4" s="235"/>
      <c r="AK4" s="7"/>
      <c r="AL4" s="236" t="s">
        <v>12</v>
      </c>
      <c r="AM4" s="237"/>
      <c r="AN4" s="237"/>
      <c r="AO4" s="237"/>
      <c r="AP4" s="237"/>
      <c r="AQ4" s="237"/>
      <c r="AR4" s="8"/>
      <c r="AS4" s="238" t="s">
        <v>13</v>
      </c>
      <c r="AT4" s="239"/>
      <c r="AU4" s="239"/>
      <c r="AV4" s="239"/>
      <c r="AW4" s="240"/>
      <c r="AX4" s="218" t="s">
        <v>14</v>
      </c>
      <c r="AY4" s="219"/>
      <c r="AZ4" s="219"/>
      <c r="BA4" s="219"/>
      <c r="BB4" s="220"/>
    </row>
    <row r="5" spans="19:54" ht="52.5" customHeight="1">
      <c r="S5" s="246" t="s">
        <v>15</v>
      </c>
      <c r="T5" s="248" t="s">
        <v>16</v>
      </c>
      <c r="U5" s="248" t="s">
        <v>17</v>
      </c>
      <c r="V5" s="248" t="s">
        <v>18</v>
      </c>
      <c r="W5" s="248" t="s">
        <v>19</v>
      </c>
      <c r="X5" s="248" t="s">
        <v>20</v>
      </c>
      <c r="Y5" s="248" t="s">
        <v>21</v>
      </c>
      <c r="Z5" s="250" t="s">
        <v>22</v>
      </c>
      <c r="AA5" s="252" t="s">
        <v>23</v>
      </c>
      <c r="AB5" s="270" t="s">
        <v>9</v>
      </c>
      <c r="AC5" s="272" t="s">
        <v>24</v>
      </c>
      <c r="AD5" s="272" t="s">
        <v>25</v>
      </c>
      <c r="AE5" s="274" t="s">
        <v>26</v>
      </c>
      <c r="AF5" s="209" t="s">
        <v>27</v>
      </c>
      <c r="AG5" s="209" t="s">
        <v>28</v>
      </c>
      <c r="AH5" s="263" t="s">
        <v>29</v>
      </c>
      <c r="AI5" s="263" t="s">
        <v>30</v>
      </c>
      <c r="AJ5" s="265" t="s">
        <v>31</v>
      </c>
      <c r="AK5" s="267" t="s">
        <v>32</v>
      </c>
      <c r="AL5" s="268"/>
      <c r="AM5" s="268"/>
      <c r="AN5" s="268"/>
      <c r="AO5" s="268"/>
      <c r="AP5" s="268"/>
      <c r="AQ5" s="268"/>
      <c r="AR5" s="269"/>
      <c r="AS5" s="259" t="s">
        <v>33</v>
      </c>
      <c r="AT5" s="259" t="s">
        <v>34</v>
      </c>
      <c r="AU5" s="259" t="s">
        <v>35</v>
      </c>
      <c r="AV5" s="259" t="s">
        <v>66</v>
      </c>
      <c r="AW5" s="261" t="s">
        <v>92</v>
      </c>
      <c r="AX5" s="252" t="s">
        <v>37</v>
      </c>
      <c r="AY5" s="221" t="s">
        <v>38</v>
      </c>
      <c r="AZ5" s="221" t="s">
        <v>39</v>
      </c>
      <c r="BA5" s="221" t="s">
        <v>40</v>
      </c>
      <c r="BB5" s="223" t="s">
        <v>41</v>
      </c>
    </row>
    <row r="6" spans="19:54" ht="27.95" customHeight="1" thickBot="1">
      <c r="S6" s="247"/>
      <c r="T6" s="249"/>
      <c r="U6" s="249"/>
      <c r="V6" s="249"/>
      <c r="W6" s="249"/>
      <c r="X6" s="249"/>
      <c r="Y6" s="249"/>
      <c r="Z6" s="251"/>
      <c r="AA6" s="253"/>
      <c r="AB6" s="271"/>
      <c r="AC6" s="273"/>
      <c r="AD6" s="273"/>
      <c r="AE6" s="275"/>
      <c r="AF6" s="210"/>
      <c r="AG6" s="210"/>
      <c r="AH6" s="264"/>
      <c r="AI6" s="264"/>
      <c r="AJ6" s="266"/>
      <c r="AK6" s="9">
        <v>1</v>
      </c>
      <c r="AL6" s="10">
        <v>2</v>
      </c>
      <c r="AM6" s="10">
        <v>3</v>
      </c>
      <c r="AN6" s="10">
        <v>4</v>
      </c>
      <c r="AO6" s="10">
        <v>5</v>
      </c>
      <c r="AP6" s="10">
        <v>6</v>
      </c>
      <c r="AQ6" s="10">
        <v>12</v>
      </c>
      <c r="AR6" s="11"/>
      <c r="AS6" s="260"/>
      <c r="AT6" s="260"/>
      <c r="AU6" s="260"/>
      <c r="AV6" s="260"/>
      <c r="AW6" s="262"/>
      <c r="AX6" s="253"/>
      <c r="AY6" s="222"/>
      <c r="AZ6" s="222"/>
      <c r="BA6" s="222"/>
      <c r="BB6" s="224"/>
    </row>
    <row r="7" spans="19:54" s="34" customFormat="1" ht="48" customHeight="1" thickBot="1">
      <c r="S7" s="12">
        <v>1</v>
      </c>
      <c r="T7" s="241" t="s">
        <v>1</v>
      </c>
      <c r="U7" s="13"/>
      <c r="V7" s="14"/>
      <c r="W7" s="15"/>
      <c r="X7" s="16"/>
      <c r="Y7" s="17"/>
      <c r="Z7" s="18">
        <f t="shared" ref="Z7:Z15" si="0">IF(Y7&lt;X7,1+Y7-X7,Y7-X7)</f>
        <v>0</v>
      </c>
      <c r="AA7" s="19"/>
      <c r="AB7" s="20"/>
      <c r="AC7" s="21"/>
      <c r="AD7" s="100"/>
      <c r="AE7" s="22"/>
      <c r="AF7" s="23"/>
      <c r="AG7" s="23"/>
      <c r="AH7" s="23"/>
      <c r="AI7" s="23"/>
      <c r="AJ7" s="24"/>
      <c r="AK7" s="25"/>
      <c r="AL7" s="26"/>
      <c r="AM7" s="26"/>
      <c r="AN7" s="26"/>
      <c r="AO7" s="26"/>
      <c r="AP7" s="26"/>
      <c r="AQ7" s="26"/>
      <c r="AR7" s="27"/>
      <c r="AS7" s="28"/>
      <c r="AT7" s="13"/>
      <c r="AU7" s="13"/>
      <c r="AV7" s="13"/>
      <c r="AW7" s="29"/>
      <c r="AX7" s="30">
        <f t="shared" ref="AX7:AX15" si="1">SUM(AY7:BB7)</f>
        <v>0</v>
      </c>
      <c r="AY7" s="31">
        <v>0</v>
      </c>
      <c r="AZ7" s="32">
        <v>0</v>
      </c>
      <c r="BA7" s="31">
        <v>0</v>
      </c>
      <c r="BB7" s="33">
        <f t="shared" ref="BB7:BB15" si="2">SUM(($AQ$6*AQ7+$AP$6*AP7+$AN$6*AN7+$AM$6*$AM7+$AL$6*AL7+$AK$6*AK7+$AO$6*AO7+$AR$6*AR7)*175)</f>
        <v>0</v>
      </c>
    </row>
    <row r="8" spans="19:54" s="34" customFormat="1" ht="48" customHeight="1" thickBot="1">
      <c r="S8" s="12">
        <v>2</v>
      </c>
      <c r="T8" s="242"/>
      <c r="U8" s="35"/>
      <c r="V8" s="170"/>
      <c r="W8" s="170"/>
      <c r="X8" s="36"/>
      <c r="Y8" s="36"/>
      <c r="Z8" s="37">
        <f t="shared" si="0"/>
        <v>0</v>
      </c>
      <c r="AA8" s="38"/>
      <c r="AB8" s="39"/>
      <c r="AC8" s="40"/>
      <c r="AD8" s="101"/>
      <c r="AE8" s="41"/>
      <c r="AF8" s="42"/>
      <c r="AG8" s="42"/>
      <c r="AH8" s="42"/>
      <c r="AI8" s="42"/>
      <c r="AJ8" s="43"/>
      <c r="AK8" s="44"/>
      <c r="AL8" s="45"/>
      <c r="AM8" s="45"/>
      <c r="AN8" s="45"/>
      <c r="AO8" s="45"/>
      <c r="AP8" s="45"/>
      <c r="AQ8" s="45"/>
      <c r="AR8" s="46"/>
      <c r="AS8" s="47"/>
      <c r="AT8" s="35"/>
      <c r="AU8" s="35"/>
      <c r="AV8" s="35"/>
      <c r="AW8" s="48"/>
      <c r="AX8" s="49">
        <f t="shared" si="1"/>
        <v>0</v>
      </c>
      <c r="AY8" s="50">
        <v>0</v>
      </c>
      <c r="AZ8" s="51">
        <v>0</v>
      </c>
      <c r="BA8" s="52">
        <v>0</v>
      </c>
      <c r="BB8" s="53">
        <f t="shared" si="2"/>
        <v>0</v>
      </c>
    </row>
    <row r="9" spans="19:54" s="34" customFormat="1" ht="48" customHeight="1" thickBot="1">
      <c r="S9" s="12">
        <v>3</v>
      </c>
      <c r="T9" s="242"/>
      <c r="U9" s="35"/>
      <c r="V9" s="170"/>
      <c r="W9" s="170"/>
      <c r="X9" s="36"/>
      <c r="Y9" s="36"/>
      <c r="Z9" s="37">
        <f t="shared" si="0"/>
        <v>0</v>
      </c>
      <c r="AA9" s="38"/>
      <c r="AB9" s="39"/>
      <c r="AC9" s="40"/>
      <c r="AD9" s="101"/>
      <c r="AE9" s="41"/>
      <c r="AF9" s="42"/>
      <c r="AG9" s="42"/>
      <c r="AH9" s="42"/>
      <c r="AI9" s="42"/>
      <c r="AJ9" s="43"/>
      <c r="AK9" s="44"/>
      <c r="AL9" s="45"/>
      <c r="AM9" s="45"/>
      <c r="AN9" s="45"/>
      <c r="AO9" s="45"/>
      <c r="AP9" s="45"/>
      <c r="AQ9" s="45"/>
      <c r="AR9" s="46"/>
      <c r="AS9" s="47"/>
      <c r="AT9" s="35"/>
      <c r="AU9" s="35"/>
      <c r="AV9" s="35"/>
      <c r="AW9" s="48"/>
      <c r="AX9" s="49">
        <f t="shared" si="1"/>
        <v>0</v>
      </c>
      <c r="AY9" s="51">
        <v>0</v>
      </c>
      <c r="AZ9" s="52">
        <v>0</v>
      </c>
      <c r="BA9" s="51">
        <v>0</v>
      </c>
      <c r="BB9" s="53">
        <f t="shared" si="2"/>
        <v>0</v>
      </c>
    </row>
    <row r="10" spans="19:54" s="34" customFormat="1" ht="48" customHeight="1" thickBot="1">
      <c r="S10" s="12">
        <v>4</v>
      </c>
      <c r="T10" s="243" t="s">
        <v>5</v>
      </c>
      <c r="U10" s="35"/>
      <c r="V10" s="170"/>
      <c r="W10" s="170"/>
      <c r="X10" s="36"/>
      <c r="Y10" s="36"/>
      <c r="Z10" s="37">
        <f t="shared" si="0"/>
        <v>0</v>
      </c>
      <c r="AA10" s="38"/>
      <c r="AB10" s="39"/>
      <c r="AC10" s="40"/>
      <c r="AD10" s="101"/>
      <c r="AE10" s="41"/>
      <c r="AF10" s="42"/>
      <c r="AG10" s="42"/>
      <c r="AH10" s="42"/>
      <c r="AI10" s="42"/>
      <c r="AJ10" s="43"/>
      <c r="AK10" s="44"/>
      <c r="AL10" s="45"/>
      <c r="AM10" s="45"/>
      <c r="AN10" s="45"/>
      <c r="AO10" s="45"/>
      <c r="AP10" s="45"/>
      <c r="AQ10" s="45"/>
      <c r="AR10" s="46"/>
      <c r="AS10" s="47"/>
      <c r="AT10" s="35"/>
      <c r="AU10" s="35"/>
      <c r="AV10" s="35"/>
      <c r="AW10" s="48"/>
      <c r="AX10" s="49">
        <f t="shared" si="1"/>
        <v>0</v>
      </c>
      <c r="AY10" s="51">
        <v>0</v>
      </c>
      <c r="AZ10" s="52">
        <v>0</v>
      </c>
      <c r="BA10" s="51">
        <v>0</v>
      </c>
      <c r="BB10" s="53">
        <f t="shared" si="2"/>
        <v>0</v>
      </c>
    </row>
    <row r="11" spans="19:54" s="34" customFormat="1" ht="48" customHeight="1" thickBot="1">
      <c r="S11" s="12">
        <v>5</v>
      </c>
      <c r="T11" s="243"/>
      <c r="U11" s="35"/>
      <c r="V11" s="170"/>
      <c r="W11" s="170"/>
      <c r="X11" s="36"/>
      <c r="Y11" s="120"/>
      <c r="Z11" s="37">
        <f t="shared" si="0"/>
        <v>0</v>
      </c>
      <c r="AA11" s="38"/>
      <c r="AB11" s="39"/>
      <c r="AC11" s="40"/>
      <c r="AD11" s="101"/>
      <c r="AE11" s="41"/>
      <c r="AF11" s="42"/>
      <c r="AG11" s="42"/>
      <c r="AH11" s="42"/>
      <c r="AI11" s="42"/>
      <c r="AJ11" s="43"/>
      <c r="AK11" s="44"/>
      <c r="AL11" s="45"/>
      <c r="AM11" s="45"/>
      <c r="AN11" s="45"/>
      <c r="AO11" s="45"/>
      <c r="AP11" s="45"/>
      <c r="AQ11" s="45"/>
      <c r="AR11" s="46"/>
      <c r="AS11" s="47"/>
      <c r="AT11" s="35"/>
      <c r="AU11" s="35"/>
      <c r="AV11" s="35"/>
      <c r="AW11" s="48"/>
      <c r="AX11" s="49">
        <f t="shared" si="1"/>
        <v>0</v>
      </c>
      <c r="AY11" s="50">
        <v>0</v>
      </c>
      <c r="AZ11" s="51">
        <v>0</v>
      </c>
      <c r="BA11" s="52">
        <v>0</v>
      </c>
      <c r="BB11" s="53">
        <f t="shared" si="2"/>
        <v>0</v>
      </c>
    </row>
    <row r="12" spans="19:54" s="34" customFormat="1" ht="48" customHeight="1" thickBot="1">
      <c r="S12" s="12">
        <v>10</v>
      </c>
      <c r="T12" s="243"/>
      <c r="U12" s="13"/>
      <c r="V12" s="14"/>
      <c r="W12" s="14"/>
      <c r="X12" s="54"/>
      <c r="Y12" s="54"/>
      <c r="Z12" s="55">
        <f t="shared" si="0"/>
        <v>0</v>
      </c>
      <c r="AA12" s="19"/>
      <c r="AB12" s="20"/>
      <c r="AC12" s="21"/>
      <c r="AD12" s="100"/>
      <c r="AE12" s="22"/>
      <c r="AF12" s="23"/>
      <c r="AG12" s="23"/>
      <c r="AH12" s="23"/>
      <c r="AI12" s="23"/>
      <c r="AJ12" s="24"/>
      <c r="AK12" s="25"/>
      <c r="AL12" s="26"/>
      <c r="AM12" s="26"/>
      <c r="AN12" s="26"/>
      <c r="AO12" s="26"/>
      <c r="AP12" s="26"/>
      <c r="AQ12" s="26"/>
      <c r="AR12" s="27"/>
      <c r="AS12" s="28"/>
      <c r="AT12" s="13"/>
      <c r="AU12" s="13"/>
      <c r="AV12" s="13"/>
      <c r="AW12" s="29"/>
      <c r="AX12" s="30">
        <f t="shared" si="1"/>
        <v>0</v>
      </c>
      <c r="AY12" s="31">
        <v>0</v>
      </c>
      <c r="AZ12" s="32">
        <v>0</v>
      </c>
      <c r="BA12" s="31">
        <v>0</v>
      </c>
      <c r="BB12" s="56">
        <f t="shared" si="2"/>
        <v>0</v>
      </c>
    </row>
    <row r="13" spans="19:54" s="34" customFormat="1" ht="48" customHeight="1" thickBot="1">
      <c r="S13" s="12">
        <v>11</v>
      </c>
      <c r="T13" s="244" t="s">
        <v>65</v>
      </c>
      <c r="U13" s="35"/>
      <c r="V13" s="170"/>
      <c r="W13" s="170"/>
      <c r="X13" s="36"/>
      <c r="Y13" s="36"/>
      <c r="Z13" s="37">
        <f t="shared" si="0"/>
        <v>0</v>
      </c>
      <c r="AA13" s="38"/>
      <c r="AB13" s="39"/>
      <c r="AC13" s="40"/>
      <c r="AD13" s="101"/>
      <c r="AE13" s="41"/>
      <c r="AF13" s="42"/>
      <c r="AG13" s="42"/>
      <c r="AH13" s="42"/>
      <c r="AI13" s="42"/>
      <c r="AJ13" s="43"/>
      <c r="AK13" s="44"/>
      <c r="AL13" s="45"/>
      <c r="AM13" s="45"/>
      <c r="AN13" s="45"/>
      <c r="AO13" s="45"/>
      <c r="AP13" s="45"/>
      <c r="AQ13" s="45"/>
      <c r="AR13" s="46"/>
      <c r="AS13" s="47"/>
      <c r="AT13" s="35"/>
      <c r="AU13" s="35"/>
      <c r="AV13" s="35"/>
      <c r="AW13" s="48"/>
      <c r="AX13" s="49">
        <f t="shared" si="1"/>
        <v>0</v>
      </c>
      <c r="AY13" s="50">
        <v>0</v>
      </c>
      <c r="AZ13" s="51">
        <v>0</v>
      </c>
      <c r="BA13" s="52">
        <v>0</v>
      </c>
      <c r="BB13" s="57">
        <f t="shared" si="2"/>
        <v>0</v>
      </c>
    </row>
    <row r="14" spans="19:54" s="34" customFormat="1" ht="48" customHeight="1" thickBot="1">
      <c r="S14" s="12">
        <v>12</v>
      </c>
      <c r="T14" s="244"/>
      <c r="U14" s="35"/>
      <c r="V14" s="170"/>
      <c r="W14" s="170"/>
      <c r="X14" s="36"/>
      <c r="Y14" s="36"/>
      <c r="Z14" s="37">
        <f t="shared" si="0"/>
        <v>0</v>
      </c>
      <c r="AA14" s="38"/>
      <c r="AB14" s="39"/>
      <c r="AC14" s="40"/>
      <c r="AD14" s="101"/>
      <c r="AE14" s="41"/>
      <c r="AF14" s="42"/>
      <c r="AG14" s="42"/>
      <c r="AH14" s="42"/>
      <c r="AI14" s="42"/>
      <c r="AJ14" s="43"/>
      <c r="AK14" s="44"/>
      <c r="AL14" s="45"/>
      <c r="AM14" s="45"/>
      <c r="AN14" s="45"/>
      <c r="AO14" s="45"/>
      <c r="AP14" s="45"/>
      <c r="AQ14" s="45"/>
      <c r="AR14" s="46"/>
      <c r="AS14" s="47"/>
      <c r="AT14" s="35"/>
      <c r="AU14" s="35"/>
      <c r="AV14" s="35"/>
      <c r="AW14" s="48"/>
      <c r="AX14" s="49">
        <f t="shared" si="1"/>
        <v>0</v>
      </c>
      <c r="AY14" s="51">
        <v>0</v>
      </c>
      <c r="AZ14" s="52">
        <v>0</v>
      </c>
      <c r="BA14" s="51">
        <v>0</v>
      </c>
      <c r="BB14" s="57">
        <f t="shared" si="2"/>
        <v>0</v>
      </c>
    </row>
    <row r="15" spans="19:54" s="34" customFormat="1" ht="48" customHeight="1" thickBot="1">
      <c r="S15" s="12">
        <v>13</v>
      </c>
      <c r="T15" s="245"/>
      <c r="U15" s="58"/>
      <c r="V15" s="59"/>
      <c r="W15" s="59"/>
      <c r="X15" s="60"/>
      <c r="Y15" s="60"/>
      <c r="Z15" s="61">
        <f t="shared" si="0"/>
        <v>0</v>
      </c>
      <c r="AA15" s="62"/>
      <c r="AB15" s="63"/>
      <c r="AC15" s="64"/>
      <c r="AD15" s="102"/>
      <c r="AE15" s="65"/>
      <c r="AF15" s="66"/>
      <c r="AG15" s="67"/>
      <c r="AH15" s="67"/>
      <c r="AI15" s="67"/>
      <c r="AJ15" s="66"/>
      <c r="AK15" s="68"/>
      <c r="AL15" s="69"/>
      <c r="AM15" s="69"/>
      <c r="AN15" s="69"/>
      <c r="AO15" s="69"/>
      <c r="AP15" s="69"/>
      <c r="AQ15" s="69"/>
      <c r="AR15" s="70"/>
      <c r="AS15" s="71"/>
      <c r="AT15" s="35"/>
      <c r="AU15" s="35"/>
      <c r="AV15" s="35"/>
      <c r="AW15" s="48"/>
      <c r="AX15" s="49">
        <f t="shared" si="1"/>
        <v>0</v>
      </c>
      <c r="AY15" s="50">
        <v>0</v>
      </c>
      <c r="AZ15" s="51">
        <v>0</v>
      </c>
      <c r="BA15" s="52">
        <v>0</v>
      </c>
      <c r="BB15" s="57">
        <f t="shared" si="2"/>
        <v>0</v>
      </c>
    </row>
    <row r="16" spans="19:54" s="72" customFormat="1" ht="50.1" customHeight="1">
      <c r="S16" s="254" t="s">
        <v>42</v>
      </c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5" t="s">
        <v>53</v>
      </c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6" t="s">
        <v>43</v>
      </c>
      <c r="AU16" s="257"/>
      <c r="AV16" s="257"/>
      <c r="AW16" s="257"/>
      <c r="AX16" s="257"/>
      <c r="AY16" s="257"/>
      <c r="AZ16" s="257"/>
      <c r="BA16" s="257"/>
      <c r="BB16" s="258"/>
    </row>
    <row r="17" spans="18:62" s="72" customFormat="1" ht="60" customHeight="1">
      <c r="S17" s="73" t="s">
        <v>15</v>
      </c>
      <c r="T17" s="300" t="s">
        <v>44</v>
      </c>
      <c r="U17" s="301"/>
      <c r="V17" s="302" t="s">
        <v>45</v>
      </c>
      <c r="W17" s="303"/>
      <c r="X17" s="74" t="s">
        <v>46</v>
      </c>
      <c r="Y17" s="75" t="s">
        <v>67</v>
      </c>
      <c r="Z17" s="304" t="s">
        <v>47</v>
      </c>
      <c r="AA17" s="304"/>
      <c r="AB17" s="304"/>
      <c r="AC17" s="304"/>
      <c r="AD17" s="304"/>
      <c r="AE17" s="304"/>
      <c r="AF17" s="304"/>
      <c r="AG17" s="305" t="s">
        <v>48</v>
      </c>
      <c r="AH17" s="306"/>
      <c r="AI17" s="307" t="s">
        <v>49</v>
      </c>
      <c r="AJ17" s="307"/>
      <c r="AK17" s="92"/>
      <c r="AL17" s="308" t="s">
        <v>68</v>
      </c>
      <c r="AM17" s="309"/>
      <c r="AN17" s="310"/>
      <c r="AO17" s="288" t="s">
        <v>50</v>
      </c>
      <c r="AP17" s="289"/>
      <c r="AQ17" s="289"/>
      <c r="AR17" s="289"/>
      <c r="AS17" s="289"/>
      <c r="AT17" s="76" t="s">
        <v>51</v>
      </c>
      <c r="AU17" s="290" t="s">
        <v>33</v>
      </c>
      <c r="AV17" s="291"/>
      <c r="AW17" s="77" t="s">
        <v>34</v>
      </c>
      <c r="AX17" s="77" t="s">
        <v>66</v>
      </c>
      <c r="AY17" s="77" t="s">
        <v>35</v>
      </c>
      <c r="AZ17" s="77" t="s">
        <v>92</v>
      </c>
      <c r="BA17" s="292" t="s">
        <v>52</v>
      </c>
      <c r="BB17" s="293"/>
    </row>
    <row r="18" spans="18:62" ht="60.75" customHeight="1">
      <c r="S18" s="78">
        <v>1</v>
      </c>
      <c r="T18" s="294"/>
      <c r="U18" s="295"/>
      <c r="V18" s="280"/>
      <c r="W18" s="281"/>
      <c r="X18" s="79" t="str">
        <f>TEXT(MOD(V18-T18,1),"h:mm")</f>
        <v>0:00</v>
      </c>
      <c r="Y18" s="80"/>
      <c r="Z18" s="282"/>
      <c r="AA18" s="282"/>
      <c r="AB18" s="282"/>
      <c r="AC18" s="282"/>
      <c r="AD18" s="282"/>
      <c r="AE18" s="282"/>
      <c r="AF18" s="282"/>
      <c r="AG18" s="296">
        <f>SUM(AX7:AX9)</f>
        <v>0</v>
      </c>
      <c r="AH18" s="297"/>
      <c r="AI18" s="298">
        <f>SUM(AX10:AX12)</f>
        <v>0</v>
      </c>
      <c r="AJ18" s="298"/>
      <c r="AK18" s="93"/>
      <c r="AL18" s="298">
        <f>SUM(AX13:AX15)</f>
        <v>0</v>
      </c>
      <c r="AM18" s="298"/>
      <c r="AN18" s="298"/>
      <c r="AO18" s="299">
        <f>SUM(AG18:AN18)</f>
        <v>0</v>
      </c>
      <c r="AP18" s="299"/>
      <c r="AQ18" s="299"/>
      <c r="AR18" s="299"/>
      <c r="AS18" s="299"/>
      <c r="AT18" s="81" t="s">
        <v>1</v>
      </c>
      <c r="AU18" s="276">
        <f>SUM(AS7:AS9)</f>
        <v>0</v>
      </c>
      <c r="AV18" s="277"/>
      <c r="AW18" s="82">
        <f>SUM(AT7:AT9)</f>
        <v>0</v>
      </c>
      <c r="AX18" s="82">
        <f>SUM(AV7:AV9)</f>
        <v>0</v>
      </c>
      <c r="AY18" s="82">
        <f>SUM(AU7:AU9)</f>
        <v>0</v>
      </c>
      <c r="AZ18" s="82">
        <f>SUM(AW7:AW9)</f>
        <v>0</v>
      </c>
      <c r="BA18" s="276">
        <f>SUM(AU18:AZ18)</f>
        <v>0</v>
      </c>
      <c r="BB18" s="277"/>
    </row>
    <row r="19" spans="18:62" ht="60.75" customHeight="1">
      <c r="S19" s="78">
        <v>2</v>
      </c>
      <c r="T19" s="278"/>
      <c r="U19" s="279"/>
      <c r="V19" s="280"/>
      <c r="W19" s="281"/>
      <c r="X19" s="79" t="str">
        <f>TEXT(MOD(V19-T19,1),"h:mm")</f>
        <v>0:00</v>
      </c>
      <c r="Y19" s="80"/>
      <c r="Z19" s="282"/>
      <c r="AA19" s="282"/>
      <c r="AB19" s="282"/>
      <c r="AC19" s="282"/>
      <c r="AD19" s="282"/>
      <c r="AE19" s="282"/>
      <c r="AF19" s="282"/>
      <c r="AG19" s="283" t="s">
        <v>41</v>
      </c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5"/>
      <c r="AT19" s="83" t="s">
        <v>5</v>
      </c>
      <c r="AU19" s="286">
        <f>SUM(AS10:AS12)</f>
        <v>0</v>
      </c>
      <c r="AV19" s="287"/>
      <c r="AW19" s="84">
        <f>SUM(AT10:AT12)</f>
        <v>0</v>
      </c>
      <c r="AX19" s="84">
        <f>SUM(AV10:AV12)</f>
        <v>0</v>
      </c>
      <c r="AY19" s="84">
        <f>SUM(AU10:AU12)</f>
        <v>0</v>
      </c>
      <c r="AZ19" s="84">
        <f>SUM(AW10:AW12)</f>
        <v>0</v>
      </c>
      <c r="BA19" s="286">
        <f>SUM(AU19:AZ19)</f>
        <v>0</v>
      </c>
      <c r="BB19" s="287"/>
    </row>
    <row r="20" spans="18:62" ht="60.75" customHeight="1">
      <c r="S20" s="78">
        <v>3</v>
      </c>
      <c r="T20" s="278"/>
      <c r="U20" s="279"/>
      <c r="V20" s="280"/>
      <c r="W20" s="281"/>
      <c r="X20" s="79" t="str">
        <f>TEXT(MOD(V20-T20,1),"h:mm")</f>
        <v>0:00</v>
      </c>
      <c r="Y20" s="80"/>
      <c r="Z20" s="327"/>
      <c r="AA20" s="327"/>
      <c r="AB20" s="327"/>
      <c r="AC20" s="327"/>
      <c r="AD20" s="327"/>
      <c r="AE20" s="327"/>
      <c r="AF20" s="327"/>
      <c r="AG20" s="311">
        <f>SUM(BB7:BB9)</f>
        <v>0</v>
      </c>
      <c r="AH20" s="328"/>
      <c r="AI20" s="311">
        <f>SUM(BB10:BB12)</f>
        <v>0</v>
      </c>
      <c r="AJ20" s="328"/>
      <c r="AK20" s="94"/>
      <c r="AL20" s="311">
        <f>SUM(BB13:BB15)</f>
        <v>0</v>
      </c>
      <c r="AM20" s="329"/>
      <c r="AN20" s="328"/>
      <c r="AO20" s="311">
        <f>SUM(AG20:AN20)</f>
        <v>0</v>
      </c>
      <c r="AP20" s="312"/>
      <c r="AQ20" s="312"/>
      <c r="AR20" s="312"/>
      <c r="AS20" s="313"/>
      <c r="AT20" s="91" t="s">
        <v>65</v>
      </c>
      <c r="AU20" s="314">
        <f>SUM(AS13:AS15)</f>
        <v>0</v>
      </c>
      <c r="AV20" s="315"/>
      <c r="AW20" s="99">
        <f>SUM(AT13:AT15)</f>
        <v>0</v>
      </c>
      <c r="AX20" s="99">
        <f>SUM(AV13:AV15)</f>
        <v>0</v>
      </c>
      <c r="AY20" s="99">
        <f>SUM(AU13:AU15)</f>
        <v>0</v>
      </c>
      <c r="AZ20" s="99">
        <f>SUM(AW13:AW15)</f>
        <v>0</v>
      </c>
      <c r="BA20" s="316">
        <f>SUM(AU20:AZ20)</f>
        <v>0</v>
      </c>
      <c r="BB20" s="317"/>
    </row>
    <row r="21" spans="18:62" ht="60.75" customHeight="1">
      <c r="S21" s="78">
        <v>4</v>
      </c>
      <c r="T21" s="278"/>
      <c r="U21" s="279"/>
      <c r="V21" s="280"/>
      <c r="W21" s="281"/>
      <c r="X21" s="79" t="str">
        <f>TEXT(MOD(V21-T21,1),"h:mm")</f>
        <v>0:00</v>
      </c>
      <c r="Y21" s="80"/>
      <c r="Z21" s="318"/>
      <c r="AA21" s="318"/>
      <c r="AB21" s="318"/>
      <c r="AC21" s="318"/>
      <c r="AD21" s="318"/>
      <c r="AE21" s="318"/>
      <c r="AF21" s="318"/>
      <c r="AG21" s="319" t="s">
        <v>54</v>
      </c>
      <c r="AH21" s="320"/>
      <c r="AI21" s="320"/>
      <c r="AJ21" s="320"/>
      <c r="AK21" s="320"/>
      <c r="AL21" s="320"/>
      <c r="AM21" s="320"/>
      <c r="AN21" s="320"/>
      <c r="AO21" s="320"/>
      <c r="AP21" s="320"/>
      <c r="AQ21" s="320"/>
      <c r="AR21" s="320"/>
      <c r="AS21" s="321"/>
      <c r="AT21" s="322" t="s">
        <v>55</v>
      </c>
      <c r="AU21" s="323"/>
      <c r="AV21" s="324"/>
      <c r="AW21" s="325">
        <v>1680</v>
      </c>
      <c r="AX21" s="326"/>
      <c r="AY21" s="322" t="s">
        <v>56</v>
      </c>
      <c r="AZ21" s="324"/>
      <c r="BA21" s="330">
        <v>1628</v>
      </c>
      <c r="BB21" s="331"/>
    </row>
    <row r="22" spans="18:62" ht="54" customHeight="1">
      <c r="S22" s="78">
        <v>5</v>
      </c>
      <c r="T22" s="278"/>
      <c r="U22" s="279"/>
      <c r="V22" s="280"/>
      <c r="W22" s="281"/>
      <c r="X22" s="79" t="str">
        <f>TEXT(MOD(V22-T22,1),"h:mm")</f>
        <v>0:00</v>
      </c>
      <c r="Y22" s="80"/>
      <c r="Z22" s="318"/>
      <c r="AA22" s="318"/>
      <c r="AB22" s="318"/>
      <c r="AC22" s="318"/>
      <c r="AD22" s="318"/>
      <c r="AE22" s="318"/>
      <c r="AF22" s="318"/>
      <c r="AG22" s="357">
        <f>SUM(AY7:BA9)</f>
        <v>0</v>
      </c>
      <c r="AH22" s="357"/>
      <c r="AI22" s="298">
        <f>SUM(AY10:BA12)</f>
        <v>0</v>
      </c>
      <c r="AJ22" s="298"/>
      <c r="AK22" s="95"/>
      <c r="AL22" s="358">
        <f>SUM(AY13:BA15)</f>
        <v>0</v>
      </c>
      <c r="AM22" s="358"/>
      <c r="AN22" s="359"/>
      <c r="AO22" s="360">
        <f>SUM(AG22:AN22)</f>
        <v>0</v>
      </c>
      <c r="AP22" s="361"/>
      <c r="AQ22" s="361"/>
      <c r="AR22" s="361"/>
      <c r="AS22" s="362"/>
      <c r="AT22" s="98" t="s">
        <v>69</v>
      </c>
      <c r="AU22" s="363" t="s">
        <v>48</v>
      </c>
      <c r="AV22" s="364"/>
      <c r="AW22" s="365" t="s">
        <v>49</v>
      </c>
      <c r="AX22" s="366"/>
      <c r="AY22" s="332" t="s">
        <v>68</v>
      </c>
      <c r="AZ22" s="333"/>
      <c r="BA22" s="334" t="s">
        <v>57</v>
      </c>
      <c r="BB22" s="335"/>
    </row>
    <row r="23" spans="18:62" ht="59.25" customHeight="1">
      <c r="S23" s="336" t="s">
        <v>61</v>
      </c>
      <c r="T23" s="337"/>
      <c r="U23" s="337"/>
      <c r="V23" s="337"/>
      <c r="W23" s="338"/>
      <c r="X23" s="85">
        <f>SUM(X18+X19+X20+X21+X22)</f>
        <v>0</v>
      </c>
      <c r="Y23" s="171" t="s">
        <v>62</v>
      </c>
      <c r="Z23" s="86"/>
      <c r="AA23" s="87"/>
      <c r="AB23" s="87"/>
      <c r="AC23" s="339" t="s">
        <v>63</v>
      </c>
      <c r="AD23" s="339"/>
      <c r="AE23" s="340"/>
      <c r="AF23" s="341"/>
      <c r="AG23" s="342" t="s">
        <v>22</v>
      </c>
      <c r="AH23" s="343"/>
      <c r="AI23" s="344"/>
      <c r="AJ23" s="345" t="s">
        <v>48</v>
      </c>
      <c r="AK23" s="346"/>
      <c r="AL23" s="346"/>
      <c r="AM23" s="347"/>
      <c r="AN23" s="348" t="s">
        <v>49</v>
      </c>
      <c r="AO23" s="348"/>
      <c r="AP23" s="348"/>
      <c r="AQ23" s="349" t="s">
        <v>68</v>
      </c>
      <c r="AR23" s="350"/>
      <c r="AS23" s="351"/>
      <c r="AT23" s="96" t="s">
        <v>60</v>
      </c>
      <c r="AU23" s="352">
        <f>SUM(AQ7:AQ9)</f>
        <v>0</v>
      </c>
      <c r="AV23" s="353"/>
      <c r="AW23" s="352">
        <f>SUM(AQ10:AQ12)</f>
        <v>0</v>
      </c>
      <c r="AX23" s="354"/>
      <c r="AY23" s="352">
        <f>SUM(AQ13:AQ15)</f>
        <v>0</v>
      </c>
      <c r="AZ23" s="353"/>
      <c r="BA23" s="355">
        <f>SUM(AU23:AZ23)</f>
        <v>0</v>
      </c>
      <c r="BB23" s="356"/>
    </row>
    <row r="24" spans="18:62" ht="57" customHeight="1">
      <c r="S24" s="367"/>
      <c r="T24" s="368"/>
      <c r="U24" s="368"/>
      <c r="V24" s="368"/>
      <c r="W24" s="369"/>
      <c r="X24" s="373" t="s">
        <v>73</v>
      </c>
      <c r="Y24" s="104" t="s">
        <v>70</v>
      </c>
      <c r="Z24" s="105" t="s">
        <v>71</v>
      </c>
      <c r="AA24" s="103"/>
      <c r="AB24" s="103"/>
      <c r="AC24" s="375" t="s">
        <v>72</v>
      </c>
      <c r="AD24" s="376"/>
      <c r="AE24" s="377" t="s">
        <v>57</v>
      </c>
      <c r="AF24" s="378"/>
      <c r="AG24" s="379" t="s">
        <v>58</v>
      </c>
      <c r="AH24" s="380"/>
      <c r="AI24" s="381"/>
      <c r="AJ24" s="382">
        <f>AVERAGE(Z7:Z9)</f>
        <v>0</v>
      </c>
      <c r="AK24" s="383"/>
      <c r="AL24" s="383"/>
      <c r="AM24" s="383"/>
      <c r="AN24" s="382">
        <f>AVERAGE(Z10:Z12)</f>
        <v>0</v>
      </c>
      <c r="AO24" s="383"/>
      <c r="AP24" s="383"/>
      <c r="AQ24" s="382">
        <f>AVERAGE(Z13)</f>
        <v>0</v>
      </c>
      <c r="AR24" s="383"/>
      <c r="AS24" s="383"/>
      <c r="AT24" s="97" t="s">
        <v>64</v>
      </c>
      <c r="AU24" s="387">
        <f>SUM(AL7:AP9)</f>
        <v>0</v>
      </c>
      <c r="AV24" s="388"/>
      <c r="AW24" s="387">
        <f>SUM(AL10:AP12)</f>
        <v>0</v>
      </c>
      <c r="AX24" s="388"/>
      <c r="AY24" s="387">
        <f>SUM(AL13:AP15)</f>
        <v>0</v>
      </c>
      <c r="AZ24" s="388"/>
      <c r="BA24" s="389">
        <f>SUM(AU24:AZ24)</f>
        <v>0</v>
      </c>
      <c r="BB24" s="390"/>
    </row>
    <row r="25" spans="18:62" ht="52.5" customHeight="1">
      <c r="S25" s="370"/>
      <c r="T25" s="371"/>
      <c r="U25" s="371"/>
      <c r="V25" s="371"/>
      <c r="W25" s="372"/>
      <c r="X25" s="374"/>
      <c r="Y25" s="106">
        <f>SUM(AD7:AD9)</f>
        <v>0</v>
      </c>
      <c r="Z25" s="106">
        <f>SUM(AD10:AD12)</f>
        <v>0</v>
      </c>
      <c r="AA25" s="107"/>
      <c r="AB25" s="107"/>
      <c r="AC25" s="391">
        <f>SUM(AD13:AD15)</f>
        <v>0</v>
      </c>
      <c r="AD25" s="392"/>
      <c r="AE25" s="393">
        <f>SUM(Y25:AD25)</f>
        <v>0</v>
      </c>
      <c r="AF25" s="394"/>
      <c r="AG25" s="379" t="s">
        <v>59</v>
      </c>
      <c r="AH25" s="380"/>
      <c r="AI25" s="381"/>
      <c r="AJ25" s="382">
        <f>SUM(Z7:Z9)</f>
        <v>0</v>
      </c>
      <c r="AK25" s="383"/>
      <c r="AL25" s="383"/>
      <c r="AM25" s="383"/>
      <c r="AN25" s="382">
        <f>SUM(Z10:Z12)</f>
        <v>0</v>
      </c>
      <c r="AO25" s="383"/>
      <c r="AP25" s="383"/>
      <c r="AQ25" s="382">
        <f>SUM(Z13:Z15)</f>
        <v>0</v>
      </c>
      <c r="AR25" s="383"/>
      <c r="AS25" s="383"/>
      <c r="AT25" s="384"/>
      <c r="AU25" s="385"/>
      <c r="AV25" s="385"/>
      <c r="AW25" s="385"/>
      <c r="AX25" s="385"/>
      <c r="AY25" s="385"/>
      <c r="AZ25" s="385"/>
      <c r="BA25" s="385"/>
      <c r="BB25" s="386"/>
    </row>
    <row r="26" spans="18:62" ht="60.75" customHeight="1"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8:62" ht="30" customHeight="1"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8:62" ht="30" customHeight="1"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T28" s="4"/>
      <c r="AU28" s="4"/>
      <c r="AV28" s="4"/>
      <c r="AW28" s="4"/>
      <c r="AX28" s="4"/>
      <c r="AY28" s="4"/>
      <c r="AZ28" s="4"/>
      <c r="BA28" s="4"/>
    </row>
    <row r="29" spans="18:62" ht="30" customHeight="1"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T29" s="4"/>
      <c r="AU29" s="4"/>
      <c r="AV29" s="4"/>
      <c r="AW29" s="4"/>
      <c r="AX29" s="4"/>
      <c r="AY29" s="4"/>
      <c r="AZ29" s="4"/>
      <c r="BA29" s="4"/>
    </row>
    <row r="30" spans="18:62" ht="30" customHeight="1">
      <c r="R30" s="3"/>
      <c r="S30" s="3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T30" s="4"/>
      <c r="AU30" s="4"/>
      <c r="AV30" s="4"/>
      <c r="AW30" s="4"/>
      <c r="AX30" s="4"/>
      <c r="AY30" s="4"/>
      <c r="AZ30" s="4"/>
      <c r="BA30" s="4"/>
    </row>
    <row r="31" spans="18:62" ht="30" customHeight="1">
      <c r="R31" s="3"/>
      <c r="S31" s="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T31" s="4"/>
      <c r="AU31" s="4"/>
      <c r="AV31" s="4"/>
      <c r="AW31" s="4"/>
      <c r="AX31" s="4"/>
      <c r="AY31" s="4"/>
      <c r="AZ31" s="4"/>
      <c r="BA31" s="4"/>
    </row>
    <row r="32" spans="18:62" ht="15" customHeight="1">
      <c r="S32" s="3"/>
      <c r="BJ32" s="4">
        <v>8</v>
      </c>
    </row>
  </sheetData>
  <mergeCells count="145">
    <mergeCell ref="S24:W25"/>
    <mergeCell ref="X24:X25"/>
    <mergeCell ref="AC24:AD24"/>
    <mergeCell ref="AE24:AF24"/>
    <mergeCell ref="AG24:AI24"/>
    <mergeCell ref="AJ24:AM24"/>
    <mergeCell ref="AN24:AP24"/>
    <mergeCell ref="AQ25:AS25"/>
    <mergeCell ref="AT25:BB25"/>
    <mergeCell ref="AQ24:AS24"/>
    <mergeCell ref="AU24:AV24"/>
    <mergeCell ref="AW24:AX24"/>
    <mergeCell ref="AY24:AZ24"/>
    <mergeCell ref="BA24:BB24"/>
    <mergeCell ref="AC25:AD25"/>
    <mergeCell ref="AE25:AF25"/>
    <mergeCell ref="AG25:AI25"/>
    <mergeCell ref="AJ25:AM25"/>
    <mergeCell ref="AN25:AP25"/>
    <mergeCell ref="AY22:AZ22"/>
    <mergeCell ref="BA22:BB22"/>
    <mergeCell ref="S23:W23"/>
    <mergeCell ref="AC23:AD23"/>
    <mergeCell ref="AE23:AF23"/>
    <mergeCell ref="AG23:AI23"/>
    <mergeCell ref="AJ23:AM23"/>
    <mergeCell ref="AN23:AP23"/>
    <mergeCell ref="AQ23:AS23"/>
    <mergeCell ref="AU23:AV23"/>
    <mergeCell ref="AW23:AX23"/>
    <mergeCell ref="AY23:AZ23"/>
    <mergeCell ref="BA23:BB23"/>
    <mergeCell ref="T22:U22"/>
    <mergeCell ref="V22:W22"/>
    <mergeCell ref="Z22:AF22"/>
    <mergeCell ref="AG22:AH22"/>
    <mergeCell ref="AI22:AJ22"/>
    <mergeCell ref="AL22:AN22"/>
    <mergeCell ref="AO22:AS22"/>
    <mergeCell ref="AU22:AV22"/>
    <mergeCell ref="AW22:AX22"/>
    <mergeCell ref="AO20:AS20"/>
    <mergeCell ref="AU20:AV20"/>
    <mergeCell ref="BA20:BB20"/>
    <mergeCell ref="T21:U21"/>
    <mergeCell ref="V21:W21"/>
    <mergeCell ref="Z21:AF21"/>
    <mergeCell ref="AG21:AS21"/>
    <mergeCell ref="AT21:AV21"/>
    <mergeCell ref="AW21:AX21"/>
    <mergeCell ref="AY21:AZ21"/>
    <mergeCell ref="T20:U20"/>
    <mergeCell ref="V20:W20"/>
    <mergeCell ref="Z20:AF20"/>
    <mergeCell ref="AG20:AH20"/>
    <mergeCell ref="AI20:AJ20"/>
    <mergeCell ref="AL20:AN20"/>
    <mergeCell ref="BA21:BB21"/>
    <mergeCell ref="AU18:AV18"/>
    <mergeCell ref="BA18:BB18"/>
    <mergeCell ref="T19:U19"/>
    <mergeCell ref="V19:W19"/>
    <mergeCell ref="Z19:AF19"/>
    <mergeCell ref="AG19:AS19"/>
    <mergeCell ref="AU19:AV19"/>
    <mergeCell ref="BA19:BB19"/>
    <mergeCell ref="AO17:AS17"/>
    <mergeCell ref="AU17:AV17"/>
    <mergeCell ref="BA17:BB17"/>
    <mergeCell ref="T18:U18"/>
    <mergeCell ref="V18:W18"/>
    <mergeCell ref="Z18:AF18"/>
    <mergeCell ref="AG18:AH18"/>
    <mergeCell ref="AI18:AJ18"/>
    <mergeCell ref="AL18:AN18"/>
    <mergeCell ref="AO18:AS18"/>
    <mergeCell ref="T17:U17"/>
    <mergeCell ref="V17:W17"/>
    <mergeCell ref="Z17:AF17"/>
    <mergeCell ref="AG17:AH17"/>
    <mergeCell ref="AI17:AJ17"/>
    <mergeCell ref="AL17:AN17"/>
    <mergeCell ref="S16:AF16"/>
    <mergeCell ref="AG16:AS16"/>
    <mergeCell ref="AT16:BB16"/>
    <mergeCell ref="AU5:AU6"/>
    <mergeCell ref="AV5:AV6"/>
    <mergeCell ref="AW5:AW6"/>
    <mergeCell ref="AX5:AX6"/>
    <mergeCell ref="AY5:AY6"/>
    <mergeCell ref="AZ5:AZ6"/>
    <mergeCell ref="AH5:AH6"/>
    <mergeCell ref="AI5:AI6"/>
    <mergeCell ref="AJ5:AJ6"/>
    <mergeCell ref="AK5:AR5"/>
    <mergeCell ref="AS5:AS6"/>
    <mergeCell ref="AT5:AT6"/>
    <mergeCell ref="AB5:AB6"/>
    <mergeCell ref="AC5:AC6"/>
    <mergeCell ref="AD5:AD6"/>
    <mergeCell ref="AE5:AE6"/>
    <mergeCell ref="S4:Z4"/>
    <mergeCell ref="AA4:AB4"/>
    <mergeCell ref="AC4:AD4"/>
    <mergeCell ref="AE4:AJ4"/>
    <mergeCell ref="AL4:AQ4"/>
    <mergeCell ref="AS4:AW4"/>
    <mergeCell ref="T7:T9"/>
    <mergeCell ref="T10:T12"/>
    <mergeCell ref="T13:T15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Q1:AT1"/>
    <mergeCell ref="AU1:AW1"/>
    <mergeCell ref="AF5:AF6"/>
    <mergeCell ref="AG5:AG6"/>
    <mergeCell ref="AX1:BB3"/>
    <mergeCell ref="AC2:AE2"/>
    <mergeCell ref="AF2:AH2"/>
    <mergeCell ref="AI2:AL2"/>
    <mergeCell ref="AM2:AP2"/>
    <mergeCell ref="AQ2:AT2"/>
    <mergeCell ref="AU2:AW2"/>
    <mergeCell ref="AC3:AE3"/>
    <mergeCell ref="AQ3:AT3"/>
    <mergeCell ref="AU3:AW3"/>
    <mergeCell ref="AX4:BB4"/>
    <mergeCell ref="BA5:BA6"/>
    <mergeCell ref="BB5:BB6"/>
    <mergeCell ref="S1:W3"/>
    <mergeCell ref="X1:Y3"/>
    <mergeCell ref="AC1:AE1"/>
    <mergeCell ref="AF1:AH1"/>
    <mergeCell ref="AI1:AL1"/>
    <mergeCell ref="AM1:AP1"/>
    <mergeCell ref="AF3:AH3"/>
    <mergeCell ref="AI3:AL3"/>
    <mergeCell ref="AM3:AP3"/>
  </mergeCells>
  <conditionalFormatting sqref="Z7:Z15">
    <cfRule type="cellIs" dxfId="403" priority="3" operator="greaterThan">
      <formula>0.167361111111111</formula>
    </cfRule>
    <cfRule type="cellIs" dxfId="402" priority="4" operator="greaterThan">
      <formula>0.15625</formula>
    </cfRule>
  </conditionalFormatting>
  <conditionalFormatting sqref="AA7:AJ15">
    <cfRule type="cellIs" dxfId="401" priority="11" operator="between">
      <formula>1700</formula>
      <formula>1710</formula>
    </cfRule>
    <cfRule type="cellIs" dxfId="400" priority="12" operator="between">
      <formula>1691</formula>
      <formula>1700</formula>
    </cfRule>
  </conditionalFormatting>
  <conditionalFormatting sqref="AS7:AS15">
    <cfRule type="expression" dxfId="399" priority="13">
      <formula>IF(($AS7/$AX7)*1000&gt;$AY$1,1,0)</formula>
    </cfRule>
  </conditionalFormatting>
  <conditionalFormatting sqref="AT7:AW15">
    <cfRule type="cellIs" dxfId="398" priority="5" operator="greaterThan">
      <formula>10</formula>
    </cfRule>
  </conditionalFormatting>
  <conditionalFormatting sqref="AX7:AX15">
    <cfRule type="cellIs" dxfId="397" priority="2" operator="between">
      <formula>16000</formula>
      <formula>17200</formula>
    </cfRule>
    <cfRule type="cellIs" dxfId="396" priority="6" operator="lessThan">
      <formula>15800</formula>
    </cfRule>
    <cfRule type="cellIs" dxfId="395" priority="7" operator="greaterThan">
      <formula>18000</formula>
    </cfRule>
  </conditionalFormatting>
  <conditionalFormatting sqref="AZ7:BA15">
    <cfRule type="cellIs" dxfId="394" priority="10" operator="greaterThan">
      <formula>0</formula>
    </cfRule>
  </conditionalFormatting>
  <conditionalFormatting sqref="BB7:BB15">
    <cfRule type="cellIs" dxfId="393" priority="1" operator="between">
      <formula>16000</formula>
      <formula>17200</formula>
    </cfRule>
    <cfRule type="cellIs" dxfId="392" priority="8" operator="greaterThan">
      <formula>18000</formula>
    </cfRule>
    <cfRule type="cellIs" dxfId="391" priority="9" operator="lessThan">
      <formula>15800</formula>
    </cfRule>
  </conditionalFormatting>
  <printOptions horizontalCentered="1" verticalCentered="1"/>
  <pageMargins left="0" right="0" top="0" bottom="0.21" header="0" footer="0"/>
  <pageSetup paperSize="9" scale="42" orientation="landscape" cellComments="asDisplayed" r:id="rId1"/>
  <headerFooter differentFirst="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D1812-31A7-4508-B107-8A4C175C22BB}">
  <sheetPr>
    <tabColor theme="5"/>
    <pageSetUpPr fitToPage="1"/>
  </sheetPr>
  <dimension ref="R1:BJ32"/>
  <sheetViews>
    <sheetView showGridLines="0" rightToLeft="1" topLeftCell="O1" zoomScale="55" zoomScaleNormal="55" zoomScalePageLayoutView="40" workbookViewId="0">
      <selection activeCell="AS8" sqref="AS8"/>
    </sheetView>
  </sheetViews>
  <sheetFormatPr defaultColWidth="9.140625" defaultRowHeight="15"/>
  <cols>
    <col min="1" max="18" width="9.140625" style="4"/>
    <col min="19" max="19" width="5.7109375" style="4" customWidth="1"/>
    <col min="20" max="20" width="9.5703125" style="3" customWidth="1"/>
    <col min="21" max="21" width="10.7109375" style="3" customWidth="1"/>
    <col min="22" max="22" width="9.42578125" style="88" customWidth="1"/>
    <col min="23" max="23" width="8.85546875" style="88" customWidth="1"/>
    <col min="24" max="24" width="14.42578125" style="3" customWidth="1"/>
    <col min="25" max="25" width="14.7109375" style="3" customWidth="1"/>
    <col min="26" max="26" width="15.140625" style="88" customWidth="1"/>
    <col min="27" max="27" width="9.5703125" style="3" hidden="1" customWidth="1"/>
    <col min="28" max="28" width="10" style="3" hidden="1" customWidth="1"/>
    <col min="29" max="29" width="8.140625" style="3" customWidth="1"/>
    <col min="30" max="30" width="8.5703125" style="3" customWidth="1"/>
    <col min="31" max="31" width="12.42578125" style="3" customWidth="1"/>
    <col min="32" max="32" width="10.5703125" style="3" customWidth="1"/>
    <col min="33" max="33" width="9.5703125" style="3" customWidth="1"/>
    <col min="34" max="34" width="11.42578125" style="3" customWidth="1"/>
    <col min="35" max="35" width="9.42578125" style="3" customWidth="1"/>
    <col min="36" max="36" width="9.28515625" style="3" customWidth="1"/>
    <col min="37" max="37" width="6.7109375" style="3" hidden="1" customWidth="1"/>
    <col min="38" max="42" width="6.7109375" style="3" customWidth="1"/>
    <col min="43" max="43" width="8.140625" style="3" customWidth="1"/>
    <col min="44" max="44" width="6.7109375" style="3" hidden="1" customWidth="1"/>
    <col min="45" max="45" width="10.42578125" style="3" customWidth="1"/>
    <col min="46" max="46" width="8.7109375" style="3" customWidth="1"/>
    <col min="47" max="47" width="8.5703125" style="3" customWidth="1"/>
    <col min="48" max="48" width="8.7109375" style="3" customWidth="1"/>
    <col min="49" max="49" width="9.5703125" style="3" customWidth="1"/>
    <col min="50" max="50" width="12.42578125" style="88" customWidth="1"/>
    <col min="51" max="51" width="11.85546875" style="3" customWidth="1"/>
    <col min="52" max="52" width="11.5703125" style="3" customWidth="1"/>
    <col min="53" max="53" width="13.42578125" style="3" customWidth="1"/>
    <col min="54" max="54" width="13.5703125" style="4" customWidth="1"/>
    <col min="55" max="57" width="9.140625" style="4"/>
    <col min="58" max="58" width="25" style="4" customWidth="1"/>
    <col min="59" max="61" width="9.140625" style="4"/>
    <col min="62" max="62" width="23.5703125" style="4" customWidth="1"/>
    <col min="63" max="16384" width="9.140625" style="4"/>
  </cols>
  <sheetData>
    <row r="1" spans="19:54" ht="36.75" customHeight="1" thickBot="1">
      <c r="S1" s="180"/>
      <c r="T1" s="181"/>
      <c r="U1" s="181"/>
      <c r="V1" s="181"/>
      <c r="W1" s="181"/>
      <c r="X1" s="182" t="s">
        <v>0</v>
      </c>
      <c r="Y1" s="183"/>
      <c r="Z1" s="1" t="s">
        <v>1</v>
      </c>
      <c r="AA1" s="2"/>
      <c r="AC1" s="188" t="s">
        <v>2</v>
      </c>
      <c r="AD1" s="189"/>
      <c r="AE1" s="189"/>
      <c r="AF1" s="190" t="s">
        <v>75</v>
      </c>
      <c r="AG1" s="191"/>
      <c r="AH1" s="192"/>
      <c r="AI1" s="193" t="s">
        <v>3</v>
      </c>
      <c r="AJ1" s="194"/>
      <c r="AK1" s="194"/>
      <c r="AL1" s="195"/>
      <c r="AM1" s="196" t="s">
        <v>76</v>
      </c>
      <c r="AN1" s="197"/>
      <c r="AO1" s="197"/>
      <c r="AP1" s="198"/>
      <c r="AQ1" s="203" t="s">
        <v>4</v>
      </c>
      <c r="AR1" s="204"/>
      <c r="AS1" s="204"/>
      <c r="AT1" s="205"/>
      <c r="AU1" s="206" t="s">
        <v>74</v>
      </c>
      <c r="AV1" s="207"/>
      <c r="AW1" s="208"/>
      <c r="AX1" s="211" t="s">
        <v>122</v>
      </c>
      <c r="AY1" s="211"/>
      <c r="AZ1" s="211"/>
      <c r="BA1" s="211"/>
      <c r="BB1" s="211"/>
    </row>
    <row r="2" spans="19:54" ht="36.75" customHeight="1" thickBot="1">
      <c r="S2" s="180"/>
      <c r="T2" s="181"/>
      <c r="U2" s="181"/>
      <c r="V2" s="181"/>
      <c r="W2" s="181"/>
      <c r="X2" s="184"/>
      <c r="Y2" s="185"/>
      <c r="Z2" s="5" t="s">
        <v>5</v>
      </c>
      <c r="AA2" s="89"/>
      <c r="AC2" s="188" t="s">
        <v>2</v>
      </c>
      <c r="AD2" s="189"/>
      <c r="AE2" s="212"/>
      <c r="AF2" s="190" t="s">
        <v>78</v>
      </c>
      <c r="AG2" s="191"/>
      <c r="AH2" s="192"/>
      <c r="AI2" s="193" t="s">
        <v>3</v>
      </c>
      <c r="AJ2" s="194"/>
      <c r="AK2" s="194"/>
      <c r="AL2" s="195"/>
      <c r="AM2" s="202" t="s">
        <v>79</v>
      </c>
      <c r="AN2" s="202"/>
      <c r="AO2" s="202"/>
      <c r="AP2" s="202"/>
      <c r="AQ2" s="203" t="s">
        <v>4</v>
      </c>
      <c r="AR2" s="204"/>
      <c r="AS2" s="204"/>
      <c r="AT2" s="205"/>
      <c r="AU2" s="213" t="s">
        <v>77</v>
      </c>
      <c r="AV2" s="213"/>
      <c r="AW2" s="213"/>
      <c r="AX2" s="211"/>
      <c r="AY2" s="211"/>
      <c r="AZ2" s="211"/>
      <c r="BA2" s="211"/>
      <c r="BB2" s="211"/>
    </row>
    <row r="3" spans="19:54" ht="38.25" customHeight="1" thickBot="1">
      <c r="S3" s="181"/>
      <c r="T3" s="181"/>
      <c r="U3" s="181"/>
      <c r="V3" s="181"/>
      <c r="W3" s="181"/>
      <c r="X3" s="186"/>
      <c r="Y3" s="187"/>
      <c r="Z3" s="90" t="s">
        <v>65</v>
      </c>
      <c r="AA3" s="6"/>
      <c r="AC3" s="188" t="s">
        <v>6</v>
      </c>
      <c r="AD3" s="189"/>
      <c r="AE3" s="212"/>
      <c r="AF3" s="190" t="s">
        <v>81</v>
      </c>
      <c r="AG3" s="191"/>
      <c r="AH3" s="192"/>
      <c r="AI3" s="199" t="s">
        <v>7</v>
      </c>
      <c r="AJ3" s="200"/>
      <c r="AK3" s="200"/>
      <c r="AL3" s="201"/>
      <c r="AM3" s="202" t="s">
        <v>82</v>
      </c>
      <c r="AN3" s="202"/>
      <c r="AO3" s="202"/>
      <c r="AP3" s="202"/>
      <c r="AQ3" s="203" t="s">
        <v>4</v>
      </c>
      <c r="AR3" s="204"/>
      <c r="AS3" s="204"/>
      <c r="AT3" s="214"/>
      <c r="AU3" s="215" t="s">
        <v>80</v>
      </c>
      <c r="AV3" s="216"/>
      <c r="AW3" s="217"/>
      <c r="AX3" s="211"/>
      <c r="AY3" s="211"/>
      <c r="AZ3" s="211"/>
      <c r="BA3" s="211"/>
      <c r="BB3" s="211"/>
    </row>
    <row r="4" spans="19:54" ht="34.5" customHeight="1" thickBot="1">
      <c r="S4" s="225" t="s">
        <v>8</v>
      </c>
      <c r="T4" s="226"/>
      <c r="U4" s="226"/>
      <c r="V4" s="226"/>
      <c r="W4" s="226"/>
      <c r="X4" s="227"/>
      <c r="Y4" s="227"/>
      <c r="Z4" s="228"/>
      <c r="AA4" s="229" t="s">
        <v>9</v>
      </c>
      <c r="AB4" s="230"/>
      <c r="AC4" s="231" t="s">
        <v>10</v>
      </c>
      <c r="AD4" s="232"/>
      <c r="AE4" s="233" t="s">
        <v>11</v>
      </c>
      <c r="AF4" s="234"/>
      <c r="AG4" s="234"/>
      <c r="AH4" s="234"/>
      <c r="AI4" s="234"/>
      <c r="AJ4" s="235"/>
      <c r="AK4" s="7"/>
      <c r="AL4" s="236" t="s">
        <v>12</v>
      </c>
      <c r="AM4" s="237"/>
      <c r="AN4" s="237"/>
      <c r="AO4" s="237"/>
      <c r="AP4" s="237"/>
      <c r="AQ4" s="237"/>
      <c r="AR4" s="8"/>
      <c r="AS4" s="238" t="s">
        <v>13</v>
      </c>
      <c r="AT4" s="239"/>
      <c r="AU4" s="239"/>
      <c r="AV4" s="239"/>
      <c r="AW4" s="240"/>
      <c r="AX4" s="218" t="s">
        <v>14</v>
      </c>
      <c r="AY4" s="219"/>
      <c r="AZ4" s="219"/>
      <c r="BA4" s="219"/>
      <c r="BB4" s="220"/>
    </row>
    <row r="5" spans="19:54" ht="52.5" customHeight="1">
      <c r="S5" s="246" t="s">
        <v>15</v>
      </c>
      <c r="T5" s="248" t="s">
        <v>16</v>
      </c>
      <c r="U5" s="248" t="s">
        <v>17</v>
      </c>
      <c r="V5" s="248" t="s">
        <v>18</v>
      </c>
      <c r="W5" s="248" t="s">
        <v>19</v>
      </c>
      <c r="X5" s="248" t="s">
        <v>20</v>
      </c>
      <c r="Y5" s="248" t="s">
        <v>21</v>
      </c>
      <c r="Z5" s="250" t="s">
        <v>22</v>
      </c>
      <c r="AA5" s="252" t="s">
        <v>23</v>
      </c>
      <c r="AB5" s="270" t="s">
        <v>9</v>
      </c>
      <c r="AC5" s="272" t="s">
        <v>24</v>
      </c>
      <c r="AD5" s="272" t="s">
        <v>25</v>
      </c>
      <c r="AE5" s="274" t="s">
        <v>26</v>
      </c>
      <c r="AF5" s="209" t="s">
        <v>27</v>
      </c>
      <c r="AG5" s="209" t="s">
        <v>28</v>
      </c>
      <c r="AH5" s="263" t="s">
        <v>29</v>
      </c>
      <c r="AI5" s="263" t="s">
        <v>30</v>
      </c>
      <c r="AJ5" s="265" t="s">
        <v>31</v>
      </c>
      <c r="AK5" s="267" t="s">
        <v>32</v>
      </c>
      <c r="AL5" s="268"/>
      <c r="AM5" s="268"/>
      <c r="AN5" s="268"/>
      <c r="AO5" s="268"/>
      <c r="AP5" s="268"/>
      <c r="AQ5" s="268"/>
      <c r="AR5" s="269"/>
      <c r="AS5" s="259" t="s">
        <v>33</v>
      </c>
      <c r="AT5" s="259" t="s">
        <v>34</v>
      </c>
      <c r="AU5" s="259" t="s">
        <v>35</v>
      </c>
      <c r="AV5" s="259" t="s">
        <v>66</v>
      </c>
      <c r="AW5" s="261" t="s">
        <v>92</v>
      </c>
      <c r="AX5" s="252" t="s">
        <v>37</v>
      </c>
      <c r="AY5" s="221" t="s">
        <v>38</v>
      </c>
      <c r="AZ5" s="221" t="s">
        <v>39</v>
      </c>
      <c r="BA5" s="221" t="s">
        <v>40</v>
      </c>
      <c r="BB5" s="223" t="s">
        <v>41</v>
      </c>
    </row>
    <row r="6" spans="19:54" ht="27.95" customHeight="1" thickBot="1">
      <c r="S6" s="247"/>
      <c r="T6" s="249"/>
      <c r="U6" s="249"/>
      <c r="V6" s="249"/>
      <c r="W6" s="249"/>
      <c r="X6" s="249"/>
      <c r="Y6" s="249"/>
      <c r="Z6" s="251"/>
      <c r="AA6" s="253"/>
      <c r="AB6" s="271"/>
      <c r="AC6" s="273"/>
      <c r="AD6" s="273"/>
      <c r="AE6" s="275"/>
      <c r="AF6" s="210"/>
      <c r="AG6" s="210"/>
      <c r="AH6" s="264"/>
      <c r="AI6" s="264"/>
      <c r="AJ6" s="266"/>
      <c r="AK6" s="9">
        <v>1</v>
      </c>
      <c r="AL6" s="10">
        <v>2</v>
      </c>
      <c r="AM6" s="10">
        <v>3</v>
      </c>
      <c r="AN6" s="10">
        <v>4</v>
      </c>
      <c r="AO6" s="10">
        <v>5</v>
      </c>
      <c r="AP6" s="10">
        <v>6</v>
      </c>
      <c r="AQ6" s="10">
        <v>12</v>
      </c>
      <c r="AR6" s="11"/>
      <c r="AS6" s="260"/>
      <c r="AT6" s="260"/>
      <c r="AU6" s="260"/>
      <c r="AV6" s="260"/>
      <c r="AW6" s="262"/>
      <c r="AX6" s="253"/>
      <c r="AY6" s="222"/>
      <c r="AZ6" s="222"/>
      <c r="BA6" s="222"/>
      <c r="BB6" s="224"/>
    </row>
    <row r="7" spans="19:54" s="34" customFormat="1" ht="48" customHeight="1" thickBot="1">
      <c r="S7" s="12">
        <v>1</v>
      </c>
      <c r="T7" s="241" t="s">
        <v>1</v>
      </c>
      <c r="U7" s="13"/>
      <c r="V7" s="14"/>
      <c r="W7" s="15"/>
      <c r="X7" s="16"/>
      <c r="Y7" s="17"/>
      <c r="Z7" s="18">
        <f t="shared" ref="Z7:Z15" si="0">IF(Y7&lt;X7,1+Y7-X7,Y7-X7)</f>
        <v>0</v>
      </c>
      <c r="AA7" s="19"/>
      <c r="AB7" s="20"/>
      <c r="AC7" s="21"/>
      <c r="AD7" s="100"/>
      <c r="AE7" s="22"/>
      <c r="AF7" s="23"/>
      <c r="AG7" s="23"/>
      <c r="AH7" s="23"/>
      <c r="AI7" s="23"/>
      <c r="AJ7" s="24"/>
      <c r="AK7" s="25"/>
      <c r="AL7" s="26"/>
      <c r="AM7" s="26"/>
      <c r="AN7" s="26"/>
      <c r="AO7" s="26"/>
      <c r="AP7" s="26"/>
      <c r="AQ7" s="26"/>
      <c r="AR7" s="27"/>
      <c r="AS7" s="28"/>
      <c r="AT7" s="13"/>
      <c r="AU7" s="13"/>
      <c r="AV7" s="13"/>
      <c r="AW7" s="29"/>
      <c r="AX7" s="30">
        <f t="shared" ref="AX7:AX15" si="1">SUM(AY7:BB7)</f>
        <v>0</v>
      </c>
      <c r="AY7" s="31">
        <v>0</v>
      </c>
      <c r="AZ7" s="32">
        <v>0</v>
      </c>
      <c r="BA7" s="31">
        <v>0</v>
      </c>
      <c r="BB7" s="33">
        <f t="shared" ref="BB7:BB15" si="2">SUM(($AQ$6*AQ7+$AP$6*AP7+$AN$6*AN7+$AM$6*$AM7+$AL$6*AL7+$AK$6*AK7+$AO$6*AO7+$AR$6*AR7)*175)</f>
        <v>0</v>
      </c>
    </row>
    <row r="8" spans="19:54" s="34" customFormat="1" ht="48" customHeight="1" thickBot="1">
      <c r="S8" s="12">
        <v>2</v>
      </c>
      <c r="T8" s="242"/>
      <c r="U8" s="35"/>
      <c r="V8" s="169"/>
      <c r="W8" s="169"/>
      <c r="X8" s="36"/>
      <c r="Y8" s="36"/>
      <c r="Z8" s="37">
        <f t="shared" si="0"/>
        <v>0</v>
      </c>
      <c r="AA8" s="38"/>
      <c r="AB8" s="39"/>
      <c r="AC8" s="40"/>
      <c r="AD8" s="101"/>
      <c r="AE8" s="41"/>
      <c r="AF8" s="42"/>
      <c r="AG8" s="42"/>
      <c r="AH8" s="42"/>
      <c r="AI8" s="42"/>
      <c r="AJ8" s="43"/>
      <c r="AK8" s="44"/>
      <c r="AL8" s="45"/>
      <c r="AM8" s="45"/>
      <c r="AN8" s="45"/>
      <c r="AO8" s="45"/>
      <c r="AP8" s="45"/>
      <c r="AQ8" s="45"/>
      <c r="AR8" s="46"/>
      <c r="AS8" s="47"/>
      <c r="AT8" s="35"/>
      <c r="AU8" s="35"/>
      <c r="AV8" s="35"/>
      <c r="AW8" s="48"/>
      <c r="AX8" s="49">
        <f t="shared" si="1"/>
        <v>0</v>
      </c>
      <c r="AY8" s="50">
        <v>0</v>
      </c>
      <c r="AZ8" s="51">
        <v>0</v>
      </c>
      <c r="BA8" s="52">
        <v>0</v>
      </c>
      <c r="BB8" s="53">
        <f t="shared" si="2"/>
        <v>0</v>
      </c>
    </row>
    <row r="9" spans="19:54" s="34" customFormat="1" ht="48" customHeight="1" thickBot="1">
      <c r="S9" s="12">
        <v>3</v>
      </c>
      <c r="T9" s="242"/>
      <c r="U9" s="35"/>
      <c r="V9" s="169"/>
      <c r="W9" s="169"/>
      <c r="X9" s="36"/>
      <c r="Y9" s="36"/>
      <c r="Z9" s="37">
        <f t="shared" si="0"/>
        <v>0</v>
      </c>
      <c r="AA9" s="38"/>
      <c r="AB9" s="39"/>
      <c r="AC9" s="40"/>
      <c r="AD9" s="101"/>
      <c r="AE9" s="41"/>
      <c r="AF9" s="42"/>
      <c r="AG9" s="42"/>
      <c r="AH9" s="42"/>
      <c r="AI9" s="42"/>
      <c r="AJ9" s="43"/>
      <c r="AK9" s="44"/>
      <c r="AL9" s="45"/>
      <c r="AM9" s="45"/>
      <c r="AN9" s="45"/>
      <c r="AO9" s="45"/>
      <c r="AP9" s="45"/>
      <c r="AQ9" s="45"/>
      <c r="AR9" s="46"/>
      <c r="AS9" s="47"/>
      <c r="AT9" s="35"/>
      <c r="AU9" s="35"/>
      <c r="AV9" s="35"/>
      <c r="AW9" s="48"/>
      <c r="AX9" s="49">
        <f t="shared" si="1"/>
        <v>0</v>
      </c>
      <c r="AY9" s="51">
        <v>0</v>
      </c>
      <c r="AZ9" s="52">
        <v>0</v>
      </c>
      <c r="BA9" s="51">
        <v>0</v>
      </c>
      <c r="BB9" s="53">
        <f t="shared" si="2"/>
        <v>0</v>
      </c>
    </row>
    <row r="10" spans="19:54" s="34" customFormat="1" ht="48" customHeight="1" thickBot="1">
      <c r="S10" s="12">
        <v>4</v>
      </c>
      <c r="T10" s="243" t="s">
        <v>5</v>
      </c>
      <c r="U10" s="35"/>
      <c r="V10" s="169"/>
      <c r="W10" s="169"/>
      <c r="X10" s="36"/>
      <c r="Y10" s="36"/>
      <c r="Z10" s="37">
        <f t="shared" si="0"/>
        <v>0</v>
      </c>
      <c r="AA10" s="38"/>
      <c r="AB10" s="39"/>
      <c r="AC10" s="40"/>
      <c r="AD10" s="101"/>
      <c r="AE10" s="41"/>
      <c r="AF10" s="42"/>
      <c r="AG10" s="42"/>
      <c r="AH10" s="42"/>
      <c r="AI10" s="42"/>
      <c r="AJ10" s="43"/>
      <c r="AK10" s="44"/>
      <c r="AL10" s="45"/>
      <c r="AM10" s="45"/>
      <c r="AN10" s="45"/>
      <c r="AO10" s="45"/>
      <c r="AP10" s="45"/>
      <c r="AQ10" s="45"/>
      <c r="AR10" s="46"/>
      <c r="AS10" s="47"/>
      <c r="AT10" s="35"/>
      <c r="AU10" s="35"/>
      <c r="AV10" s="35"/>
      <c r="AW10" s="48"/>
      <c r="AX10" s="49">
        <f t="shared" si="1"/>
        <v>0</v>
      </c>
      <c r="AY10" s="51">
        <v>0</v>
      </c>
      <c r="AZ10" s="52">
        <v>0</v>
      </c>
      <c r="BA10" s="51">
        <v>0</v>
      </c>
      <c r="BB10" s="53">
        <f t="shared" si="2"/>
        <v>0</v>
      </c>
    </row>
    <row r="11" spans="19:54" s="34" customFormat="1" ht="48" customHeight="1" thickBot="1">
      <c r="S11" s="12">
        <v>5</v>
      </c>
      <c r="T11" s="243"/>
      <c r="U11" s="35"/>
      <c r="V11" s="169"/>
      <c r="W11" s="169"/>
      <c r="X11" s="36"/>
      <c r="Y11" s="120"/>
      <c r="Z11" s="37">
        <f t="shared" si="0"/>
        <v>0</v>
      </c>
      <c r="AA11" s="38"/>
      <c r="AB11" s="39"/>
      <c r="AC11" s="40"/>
      <c r="AD11" s="101"/>
      <c r="AE11" s="41"/>
      <c r="AF11" s="42"/>
      <c r="AG11" s="42"/>
      <c r="AH11" s="42"/>
      <c r="AI11" s="42"/>
      <c r="AJ11" s="43"/>
      <c r="AK11" s="44"/>
      <c r="AL11" s="45"/>
      <c r="AM11" s="45"/>
      <c r="AN11" s="45"/>
      <c r="AO11" s="45"/>
      <c r="AP11" s="45"/>
      <c r="AQ11" s="45"/>
      <c r="AR11" s="46"/>
      <c r="AS11" s="47"/>
      <c r="AT11" s="35"/>
      <c r="AU11" s="35"/>
      <c r="AV11" s="35"/>
      <c r="AW11" s="48"/>
      <c r="AX11" s="49">
        <f t="shared" si="1"/>
        <v>0</v>
      </c>
      <c r="AY11" s="50">
        <v>0</v>
      </c>
      <c r="AZ11" s="51">
        <v>0</v>
      </c>
      <c r="BA11" s="52">
        <v>0</v>
      </c>
      <c r="BB11" s="53">
        <f t="shared" si="2"/>
        <v>0</v>
      </c>
    </row>
    <row r="12" spans="19:54" s="34" customFormat="1" ht="48" customHeight="1" thickBot="1">
      <c r="S12" s="12">
        <v>10</v>
      </c>
      <c r="T12" s="243"/>
      <c r="U12" s="13"/>
      <c r="V12" s="14"/>
      <c r="W12" s="14"/>
      <c r="X12" s="54"/>
      <c r="Y12" s="54"/>
      <c r="Z12" s="55">
        <f t="shared" si="0"/>
        <v>0</v>
      </c>
      <c r="AA12" s="19"/>
      <c r="AB12" s="20"/>
      <c r="AC12" s="21"/>
      <c r="AD12" s="100"/>
      <c r="AE12" s="22"/>
      <c r="AF12" s="23"/>
      <c r="AG12" s="23"/>
      <c r="AH12" s="23"/>
      <c r="AI12" s="23"/>
      <c r="AJ12" s="24"/>
      <c r="AK12" s="25"/>
      <c r="AL12" s="26"/>
      <c r="AM12" s="26"/>
      <c r="AN12" s="26"/>
      <c r="AO12" s="26"/>
      <c r="AP12" s="26"/>
      <c r="AQ12" s="26"/>
      <c r="AR12" s="27"/>
      <c r="AS12" s="28"/>
      <c r="AT12" s="13"/>
      <c r="AU12" s="13"/>
      <c r="AV12" s="13"/>
      <c r="AW12" s="29"/>
      <c r="AX12" s="30">
        <f t="shared" si="1"/>
        <v>0</v>
      </c>
      <c r="AY12" s="31">
        <v>0</v>
      </c>
      <c r="AZ12" s="32">
        <v>0</v>
      </c>
      <c r="BA12" s="31">
        <v>0</v>
      </c>
      <c r="BB12" s="56">
        <f t="shared" si="2"/>
        <v>0</v>
      </c>
    </row>
    <row r="13" spans="19:54" s="34" customFormat="1" ht="48" customHeight="1" thickBot="1">
      <c r="S13" s="12">
        <v>11</v>
      </c>
      <c r="T13" s="244" t="s">
        <v>65</v>
      </c>
      <c r="U13" s="35"/>
      <c r="V13" s="169"/>
      <c r="W13" s="169"/>
      <c r="X13" s="36"/>
      <c r="Y13" s="36"/>
      <c r="Z13" s="37">
        <f t="shared" si="0"/>
        <v>0</v>
      </c>
      <c r="AA13" s="38"/>
      <c r="AB13" s="39"/>
      <c r="AC13" s="40"/>
      <c r="AD13" s="101"/>
      <c r="AE13" s="41"/>
      <c r="AF13" s="42"/>
      <c r="AG13" s="42"/>
      <c r="AH13" s="42"/>
      <c r="AI13" s="42"/>
      <c r="AJ13" s="43"/>
      <c r="AK13" s="44"/>
      <c r="AL13" s="45"/>
      <c r="AM13" s="45"/>
      <c r="AN13" s="45"/>
      <c r="AO13" s="45"/>
      <c r="AP13" s="45"/>
      <c r="AQ13" s="45"/>
      <c r="AR13" s="46"/>
      <c r="AS13" s="47"/>
      <c r="AT13" s="35"/>
      <c r="AU13" s="35"/>
      <c r="AV13" s="35"/>
      <c r="AW13" s="48"/>
      <c r="AX13" s="49">
        <f t="shared" si="1"/>
        <v>0</v>
      </c>
      <c r="AY13" s="50">
        <v>0</v>
      </c>
      <c r="AZ13" s="51">
        <v>0</v>
      </c>
      <c r="BA13" s="52">
        <v>0</v>
      </c>
      <c r="BB13" s="57">
        <f t="shared" si="2"/>
        <v>0</v>
      </c>
    </row>
    <row r="14" spans="19:54" s="34" customFormat="1" ht="48" customHeight="1" thickBot="1">
      <c r="S14" s="12">
        <v>12</v>
      </c>
      <c r="T14" s="244"/>
      <c r="U14" s="35"/>
      <c r="V14" s="169"/>
      <c r="W14" s="169"/>
      <c r="X14" s="36"/>
      <c r="Y14" s="36"/>
      <c r="Z14" s="37">
        <f t="shared" si="0"/>
        <v>0</v>
      </c>
      <c r="AA14" s="38"/>
      <c r="AB14" s="39"/>
      <c r="AC14" s="40"/>
      <c r="AD14" s="101"/>
      <c r="AE14" s="41"/>
      <c r="AF14" s="42"/>
      <c r="AG14" s="42"/>
      <c r="AH14" s="42"/>
      <c r="AI14" s="42"/>
      <c r="AJ14" s="43"/>
      <c r="AK14" s="44"/>
      <c r="AL14" s="45"/>
      <c r="AM14" s="45"/>
      <c r="AN14" s="45"/>
      <c r="AO14" s="45"/>
      <c r="AP14" s="45"/>
      <c r="AQ14" s="45"/>
      <c r="AR14" s="46"/>
      <c r="AS14" s="47"/>
      <c r="AT14" s="35"/>
      <c r="AU14" s="35"/>
      <c r="AV14" s="35"/>
      <c r="AW14" s="48"/>
      <c r="AX14" s="49">
        <f t="shared" si="1"/>
        <v>0</v>
      </c>
      <c r="AY14" s="51">
        <v>0</v>
      </c>
      <c r="AZ14" s="52">
        <v>0</v>
      </c>
      <c r="BA14" s="51">
        <v>0</v>
      </c>
      <c r="BB14" s="57">
        <f t="shared" si="2"/>
        <v>0</v>
      </c>
    </row>
    <row r="15" spans="19:54" s="34" customFormat="1" ht="48" customHeight="1" thickBot="1">
      <c r="S15" s="12">
        <v>13</v>
      </c>
      <c r="T15" s="245"/>
      <c r="U15" s="58"/>
      <c r="V15" s="59"/>
      <c r="W15" s="59"/>
      <c r="X15" s="60"/>
      <c r="Y15" s="60"/>
      <c r="Z15" s="61">
        <f t="shared" si="0"/>
        <v>0</v>
      </c>
      <c r="AA15" s="62"/>
      <c r="AB15" s="63"/>
      <c r="AC15" s="64"/>
      <c r="AD15" s="102"/>
      <c r="AE15" s="65"/>
      <c r="AF15" s="66"/>
      <c r="AG15" s="67"/>
      <c r="AH15" s="67"/>
      <c r="AI15" s="67"/>
      <c r="AJ15" s="66"/>
      <c r="AK15" s="68"/>
      <c r="AL15" s="69"/>
      <c r="AM15" s="69"/>
      <c r="AN15" s="69"/>
      <c r="AO15" s="69"/>
      <c r="AP15" s="69"/>
      <c r="AQ15" s="69"/>
      <c r="AR15" s="70"/>
      <c r="AS15" s="71"/>
      <c r="AT15" s="35"/>
      <c r="AU15" s="35"/>
      <c r="AV15" s="35"/>
      <c r="AW15" s="48"/>
      <c r="AX15" s="49">
        <f t="shared" si="1"/>
        <v>0</v>
      </c>
      <c r="AY15" s="50">
        <v>0</v>
      </c>
      <c r="AZ15" s="51">
        <v>0</v>
      </c>
      <c r="BA15" s="52">
        <v>0</v>
      </c>
      <c r="BB15" s="57">
        <f t="shared" si="2"/>
        <v>0</v>
      </c>
    </row>
    <row r="16" spans="19:54" s="72" customFormat="1" ht="50.1" customHeight="1">
      <c r="S16" s="254" t="s">
        <v>42</v>
      </c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5" t="s">
        <v>53</v>
      </c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6" t="s">
        <v>43</v>
      </c>
      <c r="AU16" s="257"/>
      <c r="AV16" s="257"/>
      <c r="AW16" s="257"/>
      <c r="AX16" s="257"/>
      <c r="AY16" s="257"/>
      <c r="AZ16" s="257"/>
      <c r="BA16" s="257"/>
      <c r="BB16" s="258"/>
    </row>
    <row r="17" spans="18:62" s="72" customFormat="1" ht="60" customHeight="1">
      <c r="S17" s="73" t="s">
        <v>15</v>
      </c>
      <c r="T17" s="300" t="s">
        <v>44</v>
      </c>
      <c r="U17" s="301"/>
      <c r="V17" s="302" t="s">
        <v>45</v>
      </c>
      <c r="W17" s="303"/>
      <c r="X17" s="74" t="s">
        <v>46</v>
      </c>
      <c r="Y17" s="75" t="s">
        <v>67</v>
      </c>
      <c r="Z17" s="304" t="s">
        <v>47</v>
      </c>
      <c r="AA17" s="304"/>
      <c r="AB17" s="304"/>
      <c r="AC17" s="304"/>
      <c r="AD17" s="304"/>
      <c r="AE17" s="304"/>
      <c r="AF17" s="304"/>
      <c r="AG17" s="305" t="s">
        <v>48</v>
      </c>
      <c r="AH17" s="306"/>
      <c r="AI17" s="307" t="s">
        <v>49</v>
      </c>
      <c r="AJ17" s="307"/>
      <c r="AK17" s="92"/>
      <c r="AL17" s="308" t="s">
        <v>68</v>
      </c>
      <c r="AM17" s="309"/>
      <c r="AN17" s="310"/>
      <c r="AO17" s="288" t="s">
        <v>50</v>
      </c>
      <c r="AP17" s="289"/>
      <c r="AQ17" s="289"/>
      <c r="AR17" s="289"/>
      <c r="AS17" s="289"/>
      <c r="AT17" s="76" t="s">
        <v>51</v>
      </c>
      <c r="AU17" s="290" t="s">
        <v>33</v>
      </c>
      <c r="AV17" s="291"/>
      <c r="AW17" s="77" t="s">
        <v>34</v>
      </c>
      <c r="AX17" s="77" t="s">
        <v>66</v>
      </c>
      <c r="AY17" s="77" t="s">
        <v>35</v>
      </c>
      <c r="AZ17" s="77" t="s">
        <v>92</v>
      </c>
      <c r="BA17" s="292" t="s">
        <v>52</v>
      </c>
      <c r="BB17" s="293"/>
    </row>
    <row r="18" spans="18:62" ht="60.75" customHeight="1">
      <c r="S18" s="78">
        <v>1</v>
      </c>
      <c r="T18" s="294"/>
      <c r="U18" s="295"/>
      <c r="V18" s="280"/>
      <c r="W18" s="281"/>
      <c r="X18" s="79" t="str">
        <f>TEXT(MOD(V18-T18,1),"h:mm")</f>
        <v>0:00</v>
      </c>
      <c r="Y18" s="80"/>
      <c r="Z18" s="282"/>
      <c r="AA18" s="282"/>
      <c r="AB18" s="282"/>
      <c r="AC18" s="282"/>
      <c r="AD18" s="282"/>
      <c r="AE18" s="282"/>
      <c r="AF18" s="282"/>
      <c r="AG18" s="296">
        <f>SUM(AX7:AX9)</f>
        <v>0</v>
      </c>
      <c r="AH18" s="297"/>
      <c r="AI18" s="298">
        <f>SUM(AX10:AX12)</f>
        <v>0</v>
      </c>
      <c r="AJ18" s="298"/>
      <c r="AK18" s="93"/>
      <c r="AL18" s="298">
        <f>SUM(AX13:AX15)</f>
        <v>0</v>
      </c>
      <c r="AM18" s="298"/>
      <c r="AN18" s="298"/>
      <c r="AO18" s="299">
        <f>SUM(AG18:AN18)</f>
        <v>0</v>
      </c>
      <c r="AP18" s="299"/>
      <c r="AQ18" s="299"/>
      <c r="AR18" s="299"/>
      <c r="AS18" s="299"/>
      <c r="AT18" s="81" t="s">
        <v>1</v>
      </c>
      <c r="AU18" s="276">
        <f>SUM(AS7:AS9)</f>
        <v>0</v>
      </c>
      <c r="AV18" s="277"/>
      <c r="AW18" s="82">
        <f>SUM(AT7:AT9)</f>
        <v>0</v>
      </c>
      <c r="AX18" s="82">
        <f>SUM(AV7:AV9)</f>
        <v>0</v>
      </c>
      <c r="AY18" s="82">
        <f>SUM(AU7:AU9)</f>
        <v>0</v>
      </c>
      <c r="AZ18" s="82">
        <f>SUM(AW7:AW9)</f>
        <v>0</v>
      </c>
      <c r="BA18" s="276">
        <f>SUM(AU18:AZ18)</f>
        <v>0</v>
      </c>
      <c r="BB18" s="277"/>
    </row>
    <row r="19" spans="18:62" ht="60.75" customHeight="1">
      <c r="S19" s="78">
        <v>2</v>
      </c>
      <c r="T19" s="278"/>
      <c r="U19" s="279"/>
      <c r="V19" s="280"/>
      <c r="W19" s="281"/>
      <c r="X19" s="79" t="str">
        <f>TEXT(MOD(V19-T19,1),"h:mm")</f>
        <v>0:00</v>
      </c>
      <c r="Y19" s="80"/>
      <c r="Z19" s="282"/>
      <c r="AA19" s="282"/>
      <c r="AB19" s="282"/>
      <c r="AC19" s="282"/>
      <c r="AD19" s="282"/>
      <c r="AE19" s="282"/>
      <c r="AF19" s="282"/>
      <c r="AG19" s="283" t="s">
        <v>41</v>
      </c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5"/>
      <c r="AT19" s="83" t="s">
        <v>5</v>
      </c>
      <c r="AU19" s="286">
        <f>SUM(AS10:AS12)</f>
        <v>0</v>
      </c>
      <c r="AV19" s="287"/>
      <c r="AW19" s="84">
        <f>SUM(AT10:AT12)</f>
        <v>0</v>
      </c>
      <c r="AX19" s="84">
        <f>SUM(AV10:AV12)</f>
        <v>0</v>
      </c>
      <c r="AY19" s="84">
        <f>SUM(AU10:AU12)</f>
        <v>0</v>
      </c>
      <c r="AZ19" s="84">
        <f>SUM(AW10:AW12)</f>
        <v>0</v>
      </c>
      <c r="BA19" s="286">
        <f>SUM(AU19:AZ19)</f>
        <v>0</v>
      </c>
      <c r="BB19" s="287"/>
    </row>
    <row r="20" spans="18:62" ht="60.75" customHeight="1">
      <c r="S20" s="78">
        <v>3</v>
      </c>
      <c r="T20" s="278"/>
      <c r="U20" s="279"/>
      <c r="V20" s="280"/>
      <c r="W20" s="281"/>
      <c r="X20" s="79" t="str">
        <f>TEXT(MOD(V20-T20,1),"h:mm")</f>
        <v>0:00</v>
      </c>
      <c r="Y20" s="80"/>
      <c r="Z20" s="327"/>
      <c r="AA20" s="327"/>
      <c r="AB20" s="327"/>
      <c r="AC20" s="327"/>
      <c r="AD20" s="327"/>
      <c r="AE20" s="327"/>
      <c r="AF20" s="327"/>
      <c r="AG20" s="311">
        <f>SUM(BB7:BB9)</f>
        <v>0</v>
      </c>
      <c r="AH20" s="328"/>
      <c r="AI20" s="311">
        <f>SUM(BB10:BB12)</f>
        <v>0</v>
      </c>
      <c r="AJ20" s="328"/>
      <c r="AK20" s="94"/>
      <c r="AL20" s="311">
        <f>SUM(BB13:BB15)</f>
        <v>0</v>
      </c>
      <c r="AM20" s="329"/>
      <c r="AN20" s="328"/>
      <c r="AO20" s="311">
        <f>SUM(AG20:AN20)</f>
        <v>0</v>
      </c>
      <c r="AP20" s="312"/>
      <c r="AQ20" s="312"/>
      <c r="AR20" s="312"/>
      <c r="AS20" s="313"/>
      <c r="AT20" s="91" t="s">
        <v>65</v>
      </c>
      <c r="AU20" s="314">
        <f>SUM(AS13:AS15)</f>
        <v>0</v>
      </c>
      <c r="AV20" s="315"/>
      <c r="AW20" s="99">
        <f>SUM(AT13:AT15)</f>
        <v>0</v>
      </c>
      <c r="AX20" s="99">
        <f>SUM(AV13:AV15)</f>
        <v>0</v>
      </c>
      <c r="AY20" s="99">
        <f>SUM(AU13:AU15)</f>
        <v>0</v>
      </c>
      <c r="AZ20" s="99">
        <f>SUM(AW13:AW15)</f>
        <v>0</v>
      </c>
      <c r="BA20" s="316">
        <f>SUM(AU20:AZ20)</f>
        <v>0</v>
      </c>
      <c r="BB20" s="317"/>
    </row>
    <row r="21" spans="18:62" ht="60.75" customHeight="1">
      <c r="S21" s="78">
        <v>4</v>
      </c>
      <c r="T21" s="278"/>
      <c r="U21" s="279"/>
      <c r="V21" s="280"/>
      <c r="W21" s="281"/>
      <c r="X21" s="79" t="str">
        <f>TEXT(MOD(V21-T21,1),"h:mm")</f>
        <v>0:00</v>
      </c>
      <c r="Y21" s="80"/>
      <c r="Z21" s="318"/>
      <c r="AA21" s="318"/>
      <c r="AB21" s="318"/>
      <c r="AC21" s="318"/>
      <c r="AD21" s="318"/>
      <c r="AE21" s="318"/>
      <c r="AF21" s="318"/>
      <c r="AG21" s="319" t="s">
        <v>54</v>
      </c>
      <c r="AH21" s="320"/>
      <c r="AI21" s="320"/>
      <c r="AJ21" s="320"/>
      <c r="AK21" s="320"/>
      <c r="AL21" s="320"/>
      <c r="AM21" s="320"/>
      <c r="AN21" s="320"/>
      <c r="AO21" s="320"/>
      <c r="AP21" s="320"/>
      <c r="AQ21" s="320"/>
      <c r="AR21" s="320"/>
      <c r="AS21" s="321"/>
      <c r="AT21" s="322" t="s">
        <v>55</v>
      </c>
      <c r="AU21" s="323"/>
      <c r="AV21" s="324"/>
      <c r="AW21" s="325">
        <v>1680</v>
      </c>
      <c r="AX21" s="326"/>
      <c r="AY21" s="322" t="s">
        <v>56</v>
      </c>
      <c r="AZ21" s="324"/>
      <c r="BA21" s="330">
        <v>1628</v>
      </c>
      <c r="BB21" s="331"/>
    </row>
    <row r="22" spans="18:62" ht="54" customHeight="1">
      <c r="S22" s="78">
        <v>5</v>
      </c>
      <c r="T22" s="278"/>
      <c r="U22" s="279"/>
      <c r="V22" s="280"/>
      <c r="W22" s="281"/>
      <c r="X22" s="79" t="str">
        <f>TEXT(MOD(V22-T22,1),"h:mm")</f>
        <v>0:00</v>
      </c>
      <c r="Y22" s="80"/>
      <c r="Z22" s="318"/>
      <c r="AA22" s="318"/>
      <c r="AB22" s="318"/>
      <c r="AC22" s="318"/>
      <c r="AD22" s="318"/>
      <c r="AE22" s="318"/>
      <c r="AF22" s="318"/>
      <c r="AG22" s="357">
        <f>SUM(AY7:BA9)</f>
        <v>0</v>
      </c>
      <c r="AH22" s="357"/>
      <c r="AI22" s="298">
        <f>SUM(AY10:BA12)</f>
        <v>0</v>
      </c>
      <c r="AJ22" s="298"/>
      <c r="AK22" s="95"/>
      <c r="AL22" s="358">
        <f>SUM(AY13:BA15)</f>
        <v>0</v>
      </c>
      <c r="AM22" s="358"/>
      <c r="AN22" s="359"/>
      <c r="AO22" s="360">
        <f>SUM(AG22:AN22)</f>
        <v>0</v>
      </c>
      <c r="AP22" s="361"/>
      <c r="AQ22" s="361"/>
      <c r="AR22" s="361"/>
      <c r="AS22" s="362"/>
      <c r="AT22" s="98" t="s">
        <v>69</v>
      </c>
      <c r="AU22" s="363" t="s">
        <v>48</v>
      </c>
      <c r="AV22" s="364"/>
      <c r="AW22" s="365" t="s">
        <v>49</v>
      </c>
      <c r="AX22" s="366"/>
      <c r="AY22" s="332" t="s">
        <v>68</v>
      </c>
      <c r="AZ22" s="333"/>
      <c r="BA22" s="334" t="s">
        <v>57</v>
      </c>
      <c r="BB22" s="335"/>
    </row>
    <row r="23" spans="18:62" ht="59.25" customHeight="1">
      <c r="S23" s="336" t="s">
        <v>61</v>
      </c>
      <c r="T23" s="337"/>
      <c r="U23" s="337"/>
      <c r="V23" s="337"/>
      <c r="W23" s="338"/>
      <c r="X23" s="85">
        <f>SUM(X18+X19+X20+X21+X22)</f>
        <v>0</v>
      </c>
      <c r="Y23" s="168" t="s">
        <v>62</v>
      </c>
      <c r="Z23" s="86"/>
      <c r="AA23" s="87"/>
      <c r="AB23" s="87"/>
      <c r="AC23" s="339" t="s">
        <v>63</v>
      </c>
      <c r="AD23" s="339"/>
      <c r="AE23" s="340"/>
      <c r="AF23" s="341"/>
      <c r="AG23" s="342" t="s">
        <v>22</v>
      </c>
      <c r="AH23" s="343"/>
      <c r="AI23" s="344"/>
      <c r="AJ23" s="345" t="s">
        <v>48</v>
      </c>
      <c r="AK23" s="346"/>
      <c r="AL23" s="346"/>
      <c r="AM23" s="347"/>
      <c r="AN23" s="348" t="s">
        <v>49</v>
      </c>
      <c r="AO23" s="348"/>
      <c r="AP23" s="348"/>
      <c r="AQ23" s="349" t="s">
        <v>68</v>
      </c>
      <c r="AR23" s="350"/>
      <c r="AS23" s="351"/>
      <c r="AT23" s="96" t="s">
        <v>60</v>
      </c>
      <c r="AU23" s="352">
        <f>SUM(AQ7:AQ9)</f>
        <v>0</v>
      </c>
      <c r="AV23" s="353"/>
      <c r="AW23" s="352">
        <f>SUM(AQ10:AQ12)</f>
        <v>0</v>
      </c>
      <c r="AX23" s="354"/>
      <c r="AY23" s="352">
        <f>SUM(AQ13:AQ15)</f>
        <v>0</v>
      </c>
      <c r="AZ23" s="353"/>
      <c r="BA23" s="355">
        <f>SUM(AU23:AZ23)</f>
        <v>0</v>
      </c>
      <c r="BB23" s="356"/>
    </row>
    <row r="24" spans="18:62" ht="57" customHeight="1">
      <c r="S24" s="367"/>
      <c r="T24" s="368"/>
      <c r="U24" s="368"/>
      <c r="V24" s="368"/>
      <c r="W24" s="369"/>
      <c r="X24" s="373" t="s">
        <v>73</v>
      </c>
      <c r="Y24" s="104" t="s">
        <v>70</v>
      </c>
      <c r="Z24" s="105" t="s">
        <v>71</v>
      </c>
      <c r="AA24" s="103"/>
      <c r="AB24" s="103"/>
      <c r="AC24" s="375" t="s">
        <v>72</v>
      </c>
      <c r="AD24" s="376"/>
      <c r="AE24" s="377" t="s">
        <v>57</v>
      </c>
      <c r="AF24" s="378"/>
      <c r="AG24" s="379" t="s">
        <v>58</v>
      </c>
      <c r="AH24" s="380"/>
      <c r="AI24" s="381"/>
      <c r="AJ24" s="382">
        <f>AVERAGE(Z7)</f>
        <v>0</v>
      </c>
      <c r="AK24" s="383"/>
      <c r="AL24" s="383"/>
      <c r="AM24" s="383"/>
      <c r="AN24" s="382">
        <f>AVERAGE(Z10)</f>
        <v>0</v>
      </c>
      <c r="AO24" s="383"/>
      <c r="AP24" s="383"/>
      <c r="AQ24" s="382">
        <f>AVERAGE(Z13:Z15)</f>
        <v>0</v>
      </c>
      <c r="AR24" s="383"/>
      <c r="AS24" s="383"/>
      <c r="AT24" s="97" t="s">
        <v>64</v>
      </c>
      <c r="AU24" s="387">
        <f>SUM(AL7:AP9)</f>
        <v>0</v>
      </c>
      <c r="AV24" s="388"/>
      <c r="AW24" s="387">
        <f>SUM(AL10:AP12)</f>
        <v>0</v>
      </c>
      <c r="AX24" s="388"/>
      <c r="AY24" s="387">
        <f>SUM(AL13:AP15)</f>
        <v>0</v>
      </c>
      <c r="AZ24" s="388"/>
      <c r="BA24" s="389">
        <f>SUM(AU24:AZ24)</f>
        <v>0</v>
      </c>
      <c r="BB24" s="390"/>
    </row>
    <row r="25" spans="18:62" ht="52.5" customHeight="1">
      <c r="S25" s="370"/>
      <c r="T25" s="371"/>
      <c r="U25" s="371"/>
      <c r="V25" s="371"/>
      <c r="W25" s="372"/>
      <c r="X25" s="374"/>
      <c r="Y25" s="106">
        <f>SUM(AD7:AD9)</f>
        <v>0</v>
      </c>
      <c r="Z25" s="106">
        <f>SUM(AD10:AD12)</f>
        <v>0</v>
      </c>
      <c r="AA25" s="107"/>
      <c r="AB25" s="107"/>
      <c r="AC25" s="391">
        <f>SUM(AD13:AD15)</f>
        <v>0</v>
      </c>
      <c r="AD25" s="392"/>
      <c r="AE25" s="393">
        <f>SUM(Y25:AD25)</f>
        <v>0</v>
      </c>
      <c r="AF25" s="394"/>
      <c r="AG25" s="379" t="s">
        <v>59</v>
      </c>
      <c r="AH25" s="380"/>
      <c r="AI25" s="381"/>
      <c r="AJ25" s="382">
        <f>SUM(Z7:Z9)</f>
        <v>0</v>
      </c>
      <c r="AK25" s="383"/>
      <c r="AL25" s="383"/>
      <c r="AM25" s="383"/>
      <c r="AN25" s="382">
        <f>SUM(Z10:Z12)</f>
        <v>0</v>
      </c>
      <c r="AO25" s="383"/>
      <c r="AP25" s="383"/>
      <c r="AQ25" s="382">
        <f>SUM(Z13:Z15)</f>
        <v>0</v>
      </c>
      <c r="AR25" s="383"/>
      <c r="AS25" s="383"/>
      <c r="AT25" s="384"/>
      <c r="AU25" s="385"/>
      <c r="AV25" s="385"/>
      <c r="AW25" s="385"/>
      <c r="AX25" s="385"/>
      <c r="AY25" s="385"/>
      <c r="AZ25" s="385"/>
      <c r="BA25" s="385"/>
      <c r="BB25" s="386"/>
    </row>
    <row r="26" spans="18:62" ht="60.75" customHeight="1"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8:62" ht="30" customHeight="1"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8:62" ht="30" customHeight="1"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T28" s="4"/>
      <c r="AU28" s="4"/>
      <c r="AV28" s="4"/>
      <c r="AW28" s="4"/>
      <c r="AX28" s="4"/>
      <c r="AY28" s="4"/>
      <c r="AZ28" s="4"/>
      <c r="BA28" s="4"/>
    </row>
    <row r="29" spans="18:62" ht="30" customHeight="1"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T29" s="4"/>
      <c r="AU29" s="4"/>
      <c r="AV29" s="4"/>
      <c r="AW29" s="4"/>
      <c r="AX29" s="4"/>
      <c r="AY29" s="4"/>
      <c r="AZ29" s="4"/>
      <c r="BA29" s="4"/>
    </row>
    <row r="30" spans="18:62" ht="30" customHeight="1">
      <c r="R30" s="3"/>
      <c r="S30" s="3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T30" s="4"/>
      <c r="AU30" s="4"/>
      <c r="AV30" s="4"/>
      <c r="AW30" s="4"/>
      <c r="AX30" s="4"/>
      <c r="AY30" s="4"/>
      <c r="AZ30" s="4"/>
      <c r="BA30" s="4"/>
    </row>
    <row r="31" spans="18:62" ht="30" customHeight="1">
      <c r="R31" s="3"/>
      <c r="S31" s="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T31" s="4"/>
      <c r="AU31" s="4"/>
      <c r="AV31" s="4"/>
      <c r="AW31" s="4"/>
      <c r="AX31" s="4"/>
      <c r="AY31" s="4"/>
      <c r="AZ31" s="4"/>
      <c r="BA31" s="4"/>
    </row>
    <row r="32" spans="18:62" ht="15" customHeight="1">
      <c r="S32" s="3"/>
      <c r="BJ32" s="4">
        <v>8</v>
      </c>
    </row>
  </sheetData>
  <mergeCells count="145">
    <mergeCell ref="S1:W3"/>
    <mergeCell ref="X1:Y3"/>
    <mergeCell ref="AC1:AE1"/>
    <mergeCell ref="AF1:AH1"/>
    <mergeCell ref="AI1:AL1"/>
    <mergeCell ref="AM1:AP1"/>
    <mergeCell ref="AF3:AH3"/>
    <mergeCell ref="AI3:AL3"/>
    <mergeCell ref="AM3:AP3"/>
    <mergeCell ref="AQ1:AT1"/>
    <mergeCell ref="AU1:AW1"/>
    <mergeCell ref="AF5:AF6"/>
    <mergeCell ref="AG5:AG6"/>
    <mergeCell ref="AX1:BB3"/>
    <mergeCell ref="AC2:AE2"/>
    <mergeCell ref="AF2:AH2"/>
    <mergeCell ref="AI2:AL2"/>
    <mergeCell ref="AM2:AP2"/>
    <mergeCell ref="AQ2:AT2"/>
    <mergeCell ref="AU2:AW2"/>
    <mergeCell ref="AC3:AE3"/>
    <mergeCell ref="AQ3:AT3"/>
    <mergeCell ref="AU3:AW3"/>
    <mergeCell ref="AX4:BB4"/>
    <mergeCell ref="BA5:BA6"/>
    <mergeCell ref="BB5:BB6"/>
    <mergeCell ref="S4:Z4"/>
    <mergeCell ref="AA4:AB4"/>
    <mergeCell ref="AC4:AD4"/>
    <mergeCell ref="AE4:AJ4"/>
    <mergeCell ref="AL4:AQ4"/>
    <mergeCell ref="AS4:AW4"/>
    <mergeCell ref="T7:T9"/>
    <mergeCell ref="T10:T12"/>
    <mergeCell ref="T13:T15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S16:AF16"/>
    <mergeCell ref="AG16:AS16"/>
    <mergeCell ref="AT16:BB16"/>
    <mergeCell ref="AU5:AU6"/>
    <mergeCell ref="AV5:AV6"/>
    <mergeCell ref="AW5:AW6"/>
    <mergeCell ref="AX5:AX6"/>
    <mergeCell ref="AY5:AY6"/>
    <mergeCell ref="AZ5:AZ6"/>
    <mergeCell ref="AH5:AH6"/>
    <mergeCell ref="AI5:AI6"/>
    <mergeCell ref="AJ5:AJ6"/>
    <mergeCell ref="AK5:AR5"/>
    <mergeCell ref="AS5:AS6"/>
    <mergeCell ref="AT5:AT6"/>
    <mergeCell ref="AB5:AB6"/>
    <mergeCell ref="AC5:AC6"/>
    <mergeCell ref="AD5:AD6"/>
    <mergeCell ref="AE5:AE6"/>
    <mergeCell ref="AU18:AV18"/>
    <mergeCell ref="BA18:BB18"/>
    <mergeCell ref="T19:U19"/>
    <mergeCell ref="V19:W19"/>
    <mergeCell ref="Z19:AF19"/>
    <mergeCell ref="AG19:AS19"/>
    <mergeCell ref="AU19:AV19"/>
    <mergeCell ref="BA19:BB19"/>
    <mergeCell ref="AO17:AS17"/>
    <mergeCell ref="AU17:AV17"/>
    <mergeCell ref="BA17:BB17"/>
    <mergeCell ref="T18:U18"/>
    <mergeCell ref="V18:W18"/>
    <mergeCell ref="Z18:AF18"/>
    <mergeCell ref="AG18:AH18"/>
    <mergeCell ref="AI18:AJ18"/>
    <mergeCell ref="AL18:AN18"/>
    <mergeCell ref="AO18:AS18"/>
    <mergeCell ref="T17:U17"/>
    <mergeCell ref="V17:W17"/>
    <mergeCell ref="Z17:AF17"/>
    <mergeCell ref="AG17:AH17"/>
    <mergeCell ref="AI17:AJ17"/>
    <mergeCell ref="AL17:AN17"/>
    <mergeCell ref="AO20:AS20"/>
    <mergeCell ref="AU20:AV20"/>
    <mergeCell ref="BA20:BB20"/>
    <mergeCell ref="T21:U21"/>
    <mergeCell ref="V21:W21"/>
    <mergeCell ref="Z21:AF21"/>
    <mergeCell ref="AG21:AS21"/>
    <mergeCell ref="AT21:AV21"/>
    <mergeCell ref="AW21:AX21"/>
    <mergeCell ref="AY21:AZ21"/>
    <mergeCell ref="T20:U20"/>
    <mergeCell ref="V20:W20"/>
    <mergeCell ref="Z20:AF20"/>
    <mergeCell ref="AG20:AH20"/>
    <mergeCell ref="AI20:AJ20"/>
    <mergeCell ref="AL20:AN20"/>
    <mergeCell ref="BA21:BB21"/>
    <mergeCell ref="AY22:AZ22"/>
    <mergeCell ref="BA22:BB22"/>
    <mergeCell ref="S23:W23"/>
    <mergeCell ref="AC23:AD23"/>
    <mergeCell ref="AE23:AF23"/>
    <mergeCell ref="AG23:AI23"/>
    <mergeCell ref="AJ23:AM23"/>
    <mergeCell ref="AN23:AP23"/>
    <mergeCell ref="AQ23:AS23"/>
    <mergeCell ref="AU23:AV23"/>
    <mergeCell ref="AW23:AX23"/>
    <mergeCell ref="AY23:AZ23"/>
    <mergeCell ref="BA23:BB23"/>
    <mergeCell ref="T22:U22"/>
    <mergeCell ref="V22:W22"/>
    <mergeCell ref="Z22:AF22"/>
    <mergeCell ref="AG22:AH22"/>
    <mergeCell ref="AI22:AJ22"/>
    <mergeCell ref="AL22:AN22"/>
    <mergeCell ref="AO22:AS22"/>
    <mergeCell ref="AU22:AV22"/>
    <mergeCell ref="AW22:AX22"/>
    <mergeCell ref="S24:W25"/>
    <mergeCell ref="X24:X25"/>
    <mergeCell ref="AC24:AD24"/>
    <mergeCell ref="AE24:AF24"/>
    <mergeCell ref="AG24:AI24"/>
    <mergeCell ref="AJ24:AM24"/>
    <mergeCell ref="AN24:AP24"/>
    <mergeCell ref="AQ25:AS25"/>
    <mergeCell ref="AT25:BB25"/>
    <mergeCell ref="AQ24:AS24"/>
    <mergeCell ref="AU24:AV24"/>
    <mergeCell ref="AW24:AX24"/>
    <mergeCell ref="AY24:AZ24"/>
    <mergeCell ref="BA24:BB24"/>
    <mergeCell ref="AC25:AD25"/>
    <mergeCell ref="AE25:AF25"/>
    <mergeCell ref="AG25:AI25"/>
    <mergeCell ref="AJ25:AM25"/>
    <mergeCell ref="AN25:AP25"/>
  </mergeCells>
  <conditionalFormatting sqref="Z7:Z15">
    <cfRule type="cellIs" dxfId="390" priority="3" operator="greaterThan">
      <formula>0.167361111111111</formula>
    </cfRule>
    <cfRule type="cellIs" dxfId="389" priority="4" operator="greaterThan">
      <formula>0.15625</formula>
    </cfRule>
  </conditionalFormatting>
  <conditionalFormatting sqref="AA7:AJ15">
    <cfRule type="cellIs" dxfId="388" priority="11" operator="between">
      <formula>1700</formula>
      <formula>1710</formula>
    </cfRule>
    <cfRule type="cellIs" dxfId="387" priority="12" operator="between">
      <formula>1691</formula>
      <formula>1700</formula>
    </cfRule>
  </conditionalFormatting>
  <conditionalFormatting sqref="AS7:AS15">
    <cfRule type="expression" dxfId="386" priority="13">
      <formula>IF(($AS7/$AX7)*1000&gt;$AY$1,1,0)</formula>
    </cfRule>
  </conditionalFormatting>
  <conditionalFormatting sqref="AT7:AW15">
    <cfRule type="cellIs" dxfId="385" priority="5" operator="greaterThan">
      <formula>10</formula>
    </cfRule>
  </conditionalFormatting>
  <conditionalFormatting sqref="AX7:AX15">
    <cfRule type="cellIs" dxfId="384" priority="2" operator="between">
      <formula>16000</formula>
      <formula>17200</formula>
    </cfRule>
    <cfRule type="cellIs" dxfId="383" priority="6" operator="lessThan">
      <formula>15800</formula>
    </cfRule>
    <cfRule type="cellIs" dxfId="382" priority="7" operator="greaterThan">
      <formula>18000</formula>
    </cfRule>
  </conditionalFormatting>
  <conditionalFormatting sqref="AZ7:BA15">
    <cfRule type="cellIs" dxfId="381" priority="10" operator="greaterThan">
      <formula>0</formula>
    </cfRule>
  </conditionalFormatting>
  <conditionalFormatting sqref="BB7:BB15">
    <cfRule type="cellIs" dxfId="380" priority="1" operator="between">
      <formula>16000</formula>
      <formula>17200</formula>
    </cfRule>
    <cfRule type="cellIs" dxfId="379" priority="8" operator="greaterThan">
      <formula>18000</formula>
    </cfRule>
    <cfRule type="cellIs" dxfId="378" priority="9" operator="lessThan">
      <formula>15800</formula>
    </cfRule>
  </conditionalFormatting>
  <printOptions horizontalCentered="1" verticalCentered="1"/>
  <pageMargins left="0" right="0" top="0" bottom="0.21" header="0" footer="0"/>
  <pageSetup paperSize="9" scale="42" orientation="landscape" cellComments="asDisplayed" r:id="rId1"/>
  <headerFooter differentFirst="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1B28-B801-4706-9E7D-C6655B34E9FA}">
  <sheetPr>
    <tabColor theme="5"/>
    <pageSetUpPr fitToPage="1"/>
  </sheetPr>
  <dimension ref="R1:BJ32"/>
  <sheetViews>
    <sheetView showGridLines="0" rightToLeft="1" topLeftCell="P1" zoomScale="55" zoomScaleNormal="55" zoomScalePageLayoutView="40" workbookViewId="0">
      <selection activeCell="AQ9" sqref="AQ9"/>
    </sheetView>
  </sheetViews>
  <sheetFormatPr defaultColWidth="9.140625" defaultRowHeight="15"/>
  <cols>
    <col min="1" max="18" width="9.140625" style="4"/>
    <col min="19" max="19" width="5.7109375" style="4" customWidth="1"/>
    <col min="20" max="20" width="9.5703125" style="3" customWidth="1"/>
    <col min="21" max="21" width="10.7109375" style="3" customWidth="1"/>
    <col min="22" max="22" width="9.42578125" style="88" customWidth="1"/>
    <col min="23" max="23" width="8.85546875" style="88" customWidth="1"/>
    <col min="24" max="24" width="14.42578125" style="3" customWidth="1"/>
    <col min="25" max="25" width="14.7109375" style="3" customWidth="1"/>
    <col min="26" max="26" width="15.140625" style="88" customWidth="1"/>
    <col min="27" max="27" width="9.5703125" style="3" hidden="1" customWidth="1"/>
    <col min="28" max="28" width="10" style="3" hidden="1" customWidth="1"/>
    <col min="29" max="29" width="8.140625" style="3" customWidth="1"/>
    <col min="30" max="30" width="8.5703125" style="3" customWidth="1"/>
    <col min="31" max="31" width="12.42578125" style="3" customWidth="1"/>
    <col min="32" max="32" width="10.5703125" style="3" customWidth="1"/>
    <col min="33" max="33" width="9.5703125" style="3" customWidth="1"/>
    <col min="34" max="34" width="11.42578125" style="3" customWidth="1"/>
    <col min="35" max="35" width="9.42578125" style="3" customWidth="1"/>
    <col min="36" max="36" width="9.28515625" style="3" customWidth="1"/>
    <col min="37" max="37" width="6.7109375" style="3" hidden="1" customWidth="1"/>
    <col min="38" max="42" width="6.7109375" style="3" customWidth="1"/>
    <col min="43" max="43" width="8.140625" style="3" customWidth="1"/>
    <col min="44" max="44" width="6.7109375" style="3" hidden="1" customWidth="1"/>
    <col min="45" max="45" width="10.42578125" style="3" customWidth="1"/>
    <col min="46" max="46" width="8.7109375" style="3" customWidth="1"/>
    <col min="47" max="47" width="8.5703125" style="3" customWidth="1"/>
    <col min="48" max="48" width="8.7109375" style="3" customWidth="1"/>
    <col min="49" max="49" width="9.5703125" style="3" customWidth="1"/>
    <col min="50" max="50" width="12.42578125" style="88" customWidth="1"/>
    <col min="51" max="51" width="11.85546875" style="3" customWidth="1"/>
    <col min="52" max="52" width="11.5703125" style="3" customWidth="1"/>
    <col min="53" max="53" width="13.42578125" style="3" customWidth="1"/>
    <col min="54" max="54" width="13.5703125" style="4" customWidth="1"/>
    <col min="55" max="57" width="9.140625" style="4"/>
    <col min="58" max="58" width="25" style="4" customWidth="1"/>
    <col min="59" max="61" width="9.140625" style="4"/>
    <col min="62" max="62" width="23.5703125" style="4" customWidth="1"/>
    <col min="63" max="16384" width="9.140625" style="4"/>
  </cols>
  <sheetData>
    <row r="1" spans="19:54" ht="36.75" customHeight="1" thickBot="1">
      <c r="S1" s="180"/>
      <c r="T1" s="181"/>
      <c r="U1" s="181"/>
      <c r="V1" s="181"/>
      <c r="W1" s="181"/>
      <c r="X1" s="182" t="s">
        <v>0</v>
      </c>
      <c r="Y1" s="183"/>
      <c r="Z1" s="1" t="s">
        <v>1</v>
      </c>
      <c r="AA1" s="2"/>
      <c r="AC1" s="188" t="s">
        <v>2</v>
      </c>
      <c r="AD1" s="189"/>
      <c r="AE1" s="189"/>
      <c r="AF1" s="190" t="s">
        <v>75</v>
      </c>
      <c r="AG1" s="191"/>
      <c r="AH1" s="192"/>
      <c r="AI1" s="193" t="s">
        <v>3</v>
      </c>
      <c r="AJ1" s="194"/>
      <c r="AK1" s="194"/>
      <c r="AL1" s="195"/>
      <c r="AM1" s="196" t="s">
        <v>76</v>
      </c>
      <c r="AN1" s="197"/>
      <c r="AO1" s="197"/>
      <c r="AP1" s="198"/>
      <c r="AQ1" s="203" t="s">
        <v>4</v>
      </c>
      <c r="AR1" s="204"/>
      <c r="AS1" s="204"/>
      <c r="AT1" s="205"/>
      <c r="AU1" s="206" t="s">
        <v>74</v>
      </c>
      <c r="AV1" s="207"/>
      <c r="AW1" s="208"/>
      <c r="AX1" s="211" t="s">
        <v>121</v>
      </c>
      <c r="AY1" s="211"/>
      <c r="AZ1" s="211"/>
      <c r="BA1" s="211"/>
      <c r="BB1" s="211"/>
    </row>
    <row r="2" spans="19:54" ht="36.75" customHeight="1" thickBot="1">
      <c r="S2" s="180"/>
      <c r="T2" s="181"/>
      <c r="U2" s="181"/>
      <c r="V2" s="181"/>
      <c r="W2" s="181"/>
      <c r="X2" s="184"/>
      <c r="Y2" s="185"/>
      <c r="Z2" s="5" t="s">
        <v>5</v>
      </c>
      <c r="AA2" s="89"/>
      <c r="AC2" s="188" t="s">
        <v>2</v>
      </c>
      <c r="AD2" s="189"/>
      <c r="AE2" s="212"/>
      <c r="AF2" s="190" t="s">
        <v>78</v>
      </c>
      <c r="AG2" s="191"/>
      <c r="AH2" s="192"/>
      <c r="AI2" s="193" t="s">
        <v>3</v>
      </c>
      <c r="AJ2" s="194"/>
      <c r="AK2" s="194"/>
      <c r="AL2" s="195"/>
      <c r="AM2" s="202" t="s">
        <v>79</v>
      </c>
      <c r="AN2" s="202"/>
      <c r="AO2" s="202"/>
      <c r="AP2" s="202"/>
      <c r="AQ2" s="203" t="s">
        <v>4</v>
      </c>
      <c r="AR2" s="204"/>
      <c r="AS2" s="204"/>
      <c r="AT2" s="205"/>
      <c r="AU2" s="213" t="s">
        <v>77</v>
      </c>
      <c r="AV2" s="213"/>
      <c r="AW2" s="213"/>
      <c r="AX2" s="211"/>
      <c r="AY2" s="211"/>
      <c r="AZ2" s="211"/>
      <c r="BA2" s="211"/>
      <c r="BB2" s="211"/>
    </row>
    <row r="3" spans="19:54" ht="38.25" customHeight="1" thickBot="1">
      <c r="S3" s="181"/>
      <c r="T3" s="181"/>
      <c r="U3" s="181"/>
      <c r="V3" s="181"/>
      <c r="W3" s="181"/>
      <c r="X3" s="186"/>
      <c r="Y3" s="187"/>
      <c r="Z3" s="90" t="s">
        <v>65</v>
      </c>
      <c r="AA3" s="6"/>
      <c r="AC3" s="188" t="s">
        <v>6</v>
      </c>
      <c r="AD3" s="189"/>
      <c r="AE3" s="212"/>
      <c r="AF3" s="190" t="s">
        <v>81</v>
      </c>
      <c r="AG3" s="191"/>
      <c r="AH3" s="192"/>
      <c r="AI3" s="199" t="s">
        <v>7</v>
      </c>
      <c r="AJ3" s="200"/>
      <c r="AK3" s="200"/>
      <c r="AL3" s="201"/>
      <c r="AM3" s="202" t="s">
        <v>82</v>
      </c>
      <c r="AN3" s="202"/>
      <c r="AO3" s="202"/>
      <c r="AP3" s="202"/>
      <c r="AQ3" s="203" t="s">
        <v>4</v>
      </c>
      <c r="AR3" s="204"/>
      <c r="AS3" s="204"/>
      <c r="AT3" s="214"/>
      <c r="AU3" s="215" t="s">
        <v>80</v>
      </c>
      <c r="AV3" s="216"/>
      <c r="AW3" s="217"/>
      <c r="AX3" s="211"/>
      <c r="AY3" s="211"/>
      <c r="AZ3" s="211"/>
      <c r="BA3" s="211"/>
      <c r="BB3" s="211"/>
    </row>
    <row r="4" spans="19:54" ht="34.5" customHeight="1" thickBot="1">
      <c r="S4" s="225" t="s">
        <v>8</v>
      </c>
      <c r="T4" s="226"/>
      <c r="U4" s="226"/>
      <c r="V4" s="226"/>
      <c r="W4" s="226"/>
      <c r="X4" s="227"/>
      <c r="Y4" s="227"/>
      <c r="Z4" s="228"/>
      <c r="AA4" s="229" t="s">
        <v>9</v>
      </c>
      <c r="AB4" s="230"/>
      <c r="AC4" s="231" t="s">
        <v>10</v>
      </c>
      <c r="AD4" s="232"/>
      <c r="AE4" s="233" t="s">
        <v>11</v>
      </c>
      <c r="AF4" s="234"/>
      <c r="AG4" s="234"/>
      <c r="AH4" s="234"/>
      <c r="AI4" s="234"/>
      <c r="AJ4" s="235"/>
      <c r="AK4" s="7"/>
      <c r="AL4" s="236" t="s">
        <v>12</v>
      </c>
      <c r="AM4" s="237"/>
      <c r="AN4" s="237"/>
      <c r="AO4" s="237"/>
      <c r="AP4" s="237"/>
      <c r="AQ4" s="237"/>
      <c r="AR4" s="8"/>
      <c r="AS4" s="238" t="s">
        <v>13</v>
      </c>
      <c r="AT4" s="239"/>
      <c r="AU4" s="239"/>
      <c r="AV4" s="239"/>
      <c r="AW4" s="240"/>
      <c r="AX4" s="218" t="s">
        <v>14</v>
      </c>
      <c r="AY4" s="219"/>
      <c r="AZ4" s="219"/>
      <c r="BA4" s="219"/>
      <c r="BB4" s="220"/>
    </row>
    <row r="5" spans="19:54" ht="52.5" customHeight="1">
      <c r="S5" s="246" t="s">
        <v>15</v>
      </c>
      <c r="T5" s="248" t="s">
        <v>16</v>
      </c>
      <c r="U5" s="248" t="s">
        <v>17</v>
      </c>
      <c r="V5" s="248" t="s">
        <v>18</v>
      </c>
      <c r="W5" s="248" t="s">
        <v>19</v>
      </c>
      <c r="X5" s="248" t="s">
        <v>20</v>
      </c>
      <c r="Y5" s="248" t="s">
        <v>21</v>
      </c>
      <c r="Z5" s="250" t="s">
        <v>22</v>
      </c>
      <c r="AA5" s="252" t="s">
        <v>23</v>
      </c>
      <c r="AB5" s="270" t="s">
        <v>9</v>
      </c>
      <c r="AC5" s="272" t="s">
        <v>24</v>
      </c>
      <c r="AD5" s="272" t="s">
        <v>25</v>
      </c>
      <c r="AE5" s="274" t="s">
        <v>26</v>
      </c>
      <c r="AF5" s="209" t="s">
        <v>27</v>
      </c>
      <c r="AG5" s="209" t="s">
        <v>28</v>
      </c>
      <c r="AH5" s="263" t="s">
        <v>29</v>
      </c>
      <c r="AI5" s="263" t="s">
        <v>30</v>
      </c>
      <c r="AJ5" s="265" t="s">
        <v>31</v>
      </c>
      <c r="AK5" s="267" t="s">
        <v>32</v>
      </c>
      <c r="AL5" s="268"/>
      <c r="AM5" s="268"/>
      <c r="AN5" s="268"/>
      <c r="AO5" s="268"/>
      <c r="AP5" s="268"/>
      <c r="AQ5" s="268"/>
      <c r="AR5" s="269"/>
      <c r="AS5" s="259" t="s">
        <v>33</v>
      </c>
      <c r="AT5" s="259" t="s">
        <v>34</v>
      </c>
      <c r="AU5" s="259" t="s">
        <v>35</v>
      </c>
      <c r="AV5" s="259" t="s">
        <v>66</v>
      </c>
      <c r="AW5" s="261" t="s">
        <v>92</v>
      </c>
      <c r="AX5" s="252" t="s">
        <v>37</v>
      </c>
      <c r="AY5" s="221" t="s">
        <v>38</v>
      </c>
      <c r="AZ5" s="221" t="s">
        <v>39</v>
      </c>
      <c r="BA5" s="221" t="s">
        <v>40</v>
      </c>
      <c r="BB5" s="223" t="s">
        <v>41</v>
      </c>
    </row>
    <row r="6" spans="19:54" ht="27.95" customHeight="1" thickBot="1">
      <c r="S6" s="247"/>
      <c r="T6" s="249"/>
      <c r="U6" s="249"/>
      <c r="V6" s="249"/>
      <c r="W6" s="249"/>
      <c r="X6" s="249"/>
      <c r="Y6" s="249"/>
      <c r="Z6" s="251"/>
      <c r="AA6" s="253"/>
      <c r="AB6" s="271"/>
      <c r="AC6" s="273"/>
      <c r="AD6" s="273"/>
      <c r="AE6" s="275"/>
      <c r="AF6" s="210"/>
      <c r="AG6" s="210"/>
      <c r="AH6" s="264"/>
      <c r="AI6" s="264"/>
      <c r="AJ6" s="266"/>
      <c r="AK6" s="9">
        <v>1</v>
      </c>
      <c r="AL6" s="10">
        <v>2</v>
      </c>
      <c r="AM6" s="10">
        <v>3</v>
      </c>
      <c r="AN6" s="10">
        <v>4</v>
      </c>
      <c r="AO6" s="10">
        <v>5</v>
      </c>
      <c r="AP6" s="10">
        <v>6</v>
      </c>
      <c r="AQ6" s="10">
        <v>12</v>
      </c>
      <c r="AR6" s="11"/>
      <c r="AS6" s="260"/>
      <c r="AT6" s="260"/>
      <c r="AU6" s="260"/>
      <c r="AV6" s="260"/>
      <c r="AW6" s="262"/>
      <c r="AX6" s="253"/>
      <c r="AY6" s="222"/>
      <c r="AZ6" s="222"/>
      <c r="BA6" s="222"/>
      <c r="BB6" s="224"/>
    </row>
    <row r="7" spans="19:54" s="34" customFormat="1" ht="48" customHeight="1" thickBot="1">
      <c r="S7" s="12">
        <v>1</v>
      </c>
      <c r="T7" s="241" t="s">
        <v>1</v>
      </c>
      <c r="U7" s="13"/>
      <c r="V7" s="14"/>
      <c r="W7" s="15"/>
      <c r="X7" s="16"/>
      <c r="Y7" s="17"/>
      <c r="Z7" s="18">
        <f t="shared" ref="Z7:Z15" si="0">IF(Y7&lt;X7,1+Y7-X7,Y7-X7)</f>
        <v>0</v>
      </c>
      <c r="AA7" s="19"/>
      <c r="AB7" s="20"/>
      <c r="AC7" s="21"/>
      <c r="AD7" s="100"/>
      <c r="AE7" s="22"/>
      <c r="AF7" s="23"/>
      <c r="AG7" s="23"/>
      <c r="AH7" s="23"/>
      <c r="AI7" s="23"/>
      <c r="AJ7" s="24"/>
      <c r="AK7" s="25"/>
      <c r="AL7" s="26"/>
      <c r="AM7" s="26"/>
      <c r="AN7" s="26"/>
      <c r="AO7" s="26"/>
      <c r="AP7" s="26"/>
      <c r="AQ7" s="26"/>
      <c r="AR7" s="27"/>
      <c r="AS7" s="28"/>
      <c r="AT7" s="13"/>
      <c r="AU7" s="13"/>
      <c r="AV7" s="13"/>
      <c r="AW7" s="29"/>
      <c r="AX7" s="30">
        <f t="shared" ref="AX7:AX15" si="1">SUM(AY7:BB7)</f>
        <v>0</v>
      </c>
      <c r="AY7" s="31">
        <v>0</v>
      </c>
      <c r="AZ7" s="32">
        <v>0</v>
      </c>
      <c r="BA7" s="31">
        <v>0</v>
      </c>
      <c r="BB7" s="33">
        <f t="shared" ref="BB7:BB15" si="2">SUM(($AQ$6*AQ7+$AP$6*AP7+$AN$6*AN7+$AM$6*$AM7+$AL$6*AL7+$AK$6*AK7+$AO$6*AO7+$AR$6*AR7)*175)</f>
        <v>0</v>
      </c>
    </row>
    <row r="8" spans="19:54" s="34" customFormat="1" ht="48" customHeight="1" thickBot="1">
      <c r="S8" s="12">
        <v>2</v>
      </c>
      <c r="T8" s="242"/>
      <c r="U8" s="35"/>
      <c r="V8" s="144"/>
      <c r="W8" s="144"/>
      <c r="X8" s="36"/>
      <c r="Y8" s="36"/>
      <c r="Z8" s="37">
        <f t="shared" si="0"/>
        <v>0</v>
      </c>
      <c r="AA8" s="38"/>
      <c r="AB8" s="39"/>
      <c r="AC8" s="40"/>
      <c r="AD8" s="101"/>
      <c r="AE8" s="41"/>
      <c r="AF8" s="42"/>
      <c r="AG8" s="42"/>
      <c r="AH8" s="42"/>
      <c r="AI8" s="42"/>
      <c r="AJ8" s="43"/>
      <c r="AK8" s="44"/>
      <c r="AL8" s="45"/>
      <c r="AM8" s="45"/>
      <c r="AN8" s="45"/>
      <c r="AO8" s="45"/>
      <c r="AP8" s="45"/>
      <c r="AQ8" s="45"/>
      <c r="AR8" s="46"/>
      <c r="AS8" s="47"/>
      <c r="AT8" s="35"/>
      <c r="AU8" s="35"/>
      <c r="AV8" s="35"/>
      <c r="AW8" s="48"/>
      <c r="AX8" s="49">
        <f t="shared" si="1"/>
        <v>0</v>
      </c>
      <c r="AY8" s="50">
        <v>0</v>
      </c>
      <c r="AZ8" s="51">
        <v>0</v>
      </c>
      <c r="BA8" s="52">
        <v>0</v>
      </c>
      <c r="BB8" s="53">
        <f t="shared" si="2"/>
        <v>0</v>
      </c>
    </row>
    <row r="9" spans="19:54" s="34" customFormat="1" ht="48" customHeight="1" thickBot="1">
      <c r="S9" s="12">
        <v>3</v>
      </c>
      <c r="T9" s="242"/>
      <c r="U9" s="35"/>
      <c r="V9" s="144"/>
      <c r="W9" s="144"/>
      <c r="X9" s="36"/>
      <c r="Y9" s="36"/>
      <c r="Z9" s="37">
        <f t="shared" si="0"/>
        <v>0</v>
      </c>
      <c r="AA9" s="38"/>
      <c r="AB9" s="39"/>
      <c r="AC9" s="40"/>
      <c r="AD9" s="101"/>
      <c r="AE9" s="41"/>
      <c r="AF9" s="42"/>
      <c r="AG9" s="42"/>
      <c r="AH9" s="42"/>
      <c r="AI9" s="42"/>
      <c r="AJ9" s="43"/>
      <c r="AK9" s="44"/>
      <c r="AL9" s="45"/>
      <c r="AM9" s="45"/>
      <c r="AN9" s="45"/>
      <c r="AO9" s="45"/>
      <c r="AP9" s="45"/>
      <c r="AQ9" s="45"/>
      <c r="AR9" s="46"/>
      <c r="AS9" s="47"/>
      <c r="AT9" s="35"/>
      <c r="AU9" s="35"/>
      <c r="AV9" s="35"/>
      <c r="AW9" s="48"/>
      <c r="AX9" s="49">
        <f t="shared" si="1"/>
        <v>0</v>
      </c>
      <c r="AY9" s="51">
        <v>0</v>
      </c>
      <c r="AZ9" s="52">
        <v>0</v>
      </c>
      <c r="BA9" s="51">
        <v>0</v>
      </c>
      <c r="BB9" s="53">
        <f t="shared" si="2"/>
        <v>0</v>
      </c>
    </row>
    <row r="10" spans="19:54" s="34" customFormat="1" ht="48" customHeight="1" thickBot="1">
      <c r="S10" s="12">
        <v>4</v>
      </c>
      <c r="T10" s="243" t="s">
        <v>5</v>
      </c>
      <c r="U10" s="35"/>
      <c r="V10" s="144"/>
      <c r="W10" s="144"/>
      <c r="X10" s="36"/>
      <c r="Y10" s="36"/>
      <c r="Z10" s="37">
        <f t="shared" si="0"/>
        <v>0</v>
      </c>
      <c r="AA10" s="38"/>
      <c r="AB10" s="39"/>
      <c r="AC10" s="40"/>
      <c r="AD10" s="101"/>
      <c r="AE10" s="41"/>
      <c r="AF10" s="42"/>
      <c r="AG10" s="42"/>
      <c r="AH10" s="42"/>
      <c r="AI10" s="42"/>
      <c r="AJ10" s="43"/>
      <c r="AK10" s="44"/>
      <c r="AL10" s="45"/>
      <c r="AM10" s="45"/>
      <c r="AN10" s="45"/>
      <c r="AO10" s="45"/>
      <c r="AP10" s="45"/>
      <c r="AQ10" s="45"/>
      <c r="AR10" s="46"/>
      <c r="AS10" s="47"/>
      <c r="AT10" s="35"/>
      <c r="AU10" s="35"/>
      <c r="AV10" s="35"/>
      <c r="AW10" s="48"/>
      <c r="AX10" s="49">
        <f t="shared" si="1"/>
        <v>0</v>
      </c>
      <c r="AY10" s="51">
        <v>0</v>
      </c>
      <c r="AZ10" s="52">
        <v>0</v>
      </c>
      <c r="BA10" s="51">
        <v>0</v>
      </c>
      <c r="BB10" s="53">
        <f t="shared" si="2"/>
        <v>0</v>
      </c>
    </row>
    <row r="11" spans="19:54" s="34" customFormat="1" ht="48" customHeight="1" thickBot="1">
      <c r="S11" s="12">
        <v>5</v>
      </c>
      <c r="T11" s="243"/>
      <c r="U11" s="35"/>
      <c r="V11" s="144"/>
      <c r="W11" s="144"/>
      <c r="X11" s="36"/>
      <c r="Y11" s="120"/>
      <c r="Z11" s="37">
        <f t="shared" si="0"/>
        <v>0</v>
      </c>
      <c r="AA11" s="38"/>
      <c r="AB11" s="39"/>
      <c r="AC11" s="40"/>
      <c r="AD11" s="101"/>
      <c r="AE11" s="41"/>
      <c r="AF11" s="42"/>
      <c r="AG11" s="42"/>
      <c r="AH11" s="42"/>
      <c r="AI11" s="42"/>
      <c r="AJ11" s="43"/>
      <c r="AK11" s="44"/>
      <c r="AL11" s="45"/>
      <c r="AM11" s="45"/>
      <c r="AN11" s="45"/>
      <c r="AO11" s="45"/>
      <c r="AP11" s="45"/>
      <c r="AQ11" s="45"/>
      <c r="AR11" s="46"/>
      <c r="AS11" s="47"/>
      <c r="AT11" s="35"/>
      <c r="AU11" s="35"/>
      <c r="AV11" s="35"/>
      <c r="AW11" s="48"/>
      <c r="AX11" s="49">
        <f t="shared" si="1"/>
        <v>0</v>
      </c>
      <c r="AY11" s="50">
        <v>0</v>
      </c>
      <c r="AZ11" s="51">
        <v>0</v>
      </c>
      <c r="BA11" s="52">
        <v>0</v>
      </c>
      <c r="BB11" s="53">
        <f t="shared" si="2"/>
        <v>0</v>
      </c>
    </row>
    <row r="12" spans="19:54" s="34" customFormat="1" ht="48" customHeight="1" thickBot="1">
      <c r="S12" s="12">
        <v>10</v>
      </c>
      <c r="T12" s="243"/>
      <c r="U12" s="13"/>
      <c r="V12" s="14"/>
      <c r="W12" s="14"/>
      <c r="X12" s="54"/>
      <c r="Y12" s="54"/>
      <c r="Z12" s="55">
        <f t="shared" si="0"/>
        <v>0</v>
      </c>
      <c r="AA12" s="19"/>
      <c r="AB12" s="20"/>
      <c r="AC12" s="21"/>
      <c r="AD12" s="100"/>
      <c r="AE12" s="22"/>
      <c r="AF12" s="23"/>
      <c r="AG12" s="23"/>
      <c r="AH12" s="23"/>
      <c r="AI12" s="23"/>
      <c r="AJ12" s="24"/>
      <c r="AK12" s="25"/>
      <c r="AL12" s="26"/>
      <c r="AM12" s="26"/>
      <c r="AN12" s="26"/>
      <c r="AO12" s="26"/>
      <c r="AP12" s="26"/>
      <c r="AQ12" s="26"/>
      <c r="AR12" s="27"/>
      <c r="AS12" s="28"/>
      <c r="AT12" s="13"/>
      <c r="AU12" s="13"/>
      <c r="AV12" s="13"/>
      <c r="AW12" s="29"/>
      <c r="AX12" s="30">
        <f t="shared" si="1"/>
        <v>0</v>
      </c>
      <c r="AY12" s="31">
        <v>0</v>
      </c>
      <c r="AZ12" s="32">
        <v>0</v>
      </c>
      <c r="BA12" s="31">
        <v>0</v>
      </c>
      <c r="BB12" s="56">
        <f t="shared" si="2"/>
        <v>0</v>
      </c>
    </row>
    <row r="13" spans="19:54" s="34" customFormat="1" ht="48" customHeight="1" thickBot="1">
      <c r="S13" s="12">
        <v>11</v>
      </c>
      <c r="T13" s="244" t="s">
        <v>65</v>
      </c>
      <c r="U13" s="35"/>
      <c r="V13" s="144"/>
      <c r="W13" s="144"/>
      <c r="X13" s="36"/>
      <c r="Y13" s="36"/>
      <c r="Z13" s="37">
        <f t="shared" si="0"/>
        <v>0</v>
      </c>
      <c r="AA13" s="38"/>
      <c r="AB13" s="39"/>
      <c r="AC13" s="40"/>
      <c r="AD13" s="101"/>
      <c r="AE13" s="41"/>
      <c r="AF13" s="42"/>
      <c r="AG13" s="42"/>
      <c r="AH13" s="42"/>
      <c r="AI13" s="42"/>
      <c r="AJ13" s="43"/>
      <c r="AK13" s="44"/>
      <c r="AL13" s="45"/>
      <c r="AM13" s="45"/>
      <c r="AN13" s="45"/>
      <c r="AO13" s="45"/>
      <c r="AP13" s="45"/>
      <c r="AQ13" s="45"/>
      <c r="AR13" s="46"/>
      <c r="AS13" s="47"/>
      <c r="AT13" s="35"/>
      <c r="AU13" s="35"/>
      <c r="AV13" s="35"/>
      <c r="AW13" s="48"/>
      <c r="AX13" s="49">
        <f t="shared" si="1"/>
        <v>0</v>
      </c>
      <c r="AY13" s="50">
        <v>0</v>
      </c>
      <c r="AZ13" s="51">
        <v>0</v>
      </c>
      <c r="BA13" s="52">
        <v>0</v>
      </c>
      <c r="BB13" s="57">
        <f t="shared" si="2"/>
        <v>0</v>
      </c>
    </row>
    <row r="14" spans="19:54" s="34" customFormat="1" ht="48" customHeight="1" thickBot="1">
      <c r="S14" s="12">
        <v>12</v>
      </c>
      <c r="T14" s="244"/>
      <c r="U14" s="35"/>
      <c r="V14" s="144"/>
      <c r="W14" s="144"/>
      <c r="X14" s="36"/>
      <c r="Y14" s="36"/>
      <c r="Z14" s="37">
        <f t="shared" si="0"/>
        <v>0</v>
      </c>
      <c r="AA14" s="38"/>
      <c r="AB14" s="39"/>
      <c r="AC14" s="40"/>
      <c r="AD14" s="101"/>
      <c r="AE14" s="41"/>
      <c r="AF14" s="42"/>
      <c r="AG14" s="42"/>
      <c r="AH14" s="42"/>
      <c r="AI14" s="42"/>
      <c r="AJ14" s="43"/>
      <c r="AK14" s="44"/>
      <c r="AL14" s="45"/>
      <c r="AM14" s="45"/>
      <c r="AN14" s="45"/>
      <c r="AO14" s="45"/>
      <c r="AP14" s="45"/>
      <c r="AQ14" s="45"/>
      <c r="AR14" s="46"/>
      <c r="AS14" s="47"/>
      <c r="AT14" s="35"/>
      <c r="AU14" s="35"/>
      <c r="AV14" s="35"/>
      <c r="AW14" s="48"/>
      <c r="AX14" s="49">
        <f t="shared" si="1"/>
        <v>0</v>
      </c>
      <c r="AY14" s="51">
        <v>0</v>
      </c>
      <c r="AZ14" s="52">
        <v>0</v>
      </c>
      <c r="BA14" s="51">
        <v>0</v>
      </c>
      <c r="BB14" s="57">
        <f t="shared" si="2"/>
        <v>0</v>
      </c>
    </row>
    <row r="15" spans="19:54" s="34" customFormat="1" ht="48" customHeight="1" thickBot="1">
      <c r="S15" s="12">
        <v>13</v>
      </c>
      <c r="T15" s="245"/>
      <c r="U15" s="58"/>
      <c r="V15" s="59"/>
      <c r="W15" s="59"/>
      <c r="X15" s="60"/>
      <c r="Y15" s="60"/>
      <c r="Z15" s="61">
        <f t="shared" si="0"/>
        <v>0</v>
      </c>
      <c r="AA15" s="62"/>
      <c r="AB15" s="63"/>
      <c r="AC15" s="64"/>
      <c r="AD15" s="102"/>
      <c r="AE15" s="65"/>
      <c r="AF15" s="66"/>
      <c r="AG15" s="67"/>
      <c r="AH15" s="67"/>
      <c r="AI15" s="67"/>
      <c r="AJ15" s="66"/>
      <c r="AK15" s="68"/>
      <c r="AL15" s="69"/>
      <c r="AM15" s="69"/>
      <c r="AN15" s="69"/>
      <c r="AO15" s="69"/>
      <c r="AP15" s="69"/>
      <c r="AQ15" s="69"/>
      <c r="AR15" s="70"/>
      <c r="AS15" s="71"/>
      <c r="AT15" s="35"/>
      <c r="AU15" s="35"/>
      <c r="AV15" s="35"/>
      <c r="AW15" s="48"/>
      <c r="AX15" s="49">
        <f t="shared" si="1"/>
        <v>0</v>
      </c>
      <c r="AY15" s="50">
        <v>0</v>
      </c>
      <c r="AZ15" s="51">
        <v>0</v>
      </c>
      <c r="BA15" s="52">
        <v>0</v>
      </c>
      <c r="BB15" s="57">
        <f t="shared" si="2"/>
        <v>0</v>
      </c>
    </row>
    <row r="16" spans="19:54" s="72" customFormat="1" ht="50.1" customHeight="1">
      <c r="S16" s="254" t="s">
        <v>42</v>
      </c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5" t="s">
        <v>53</v>
      </c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6" t="s">
        <v>43</v>
      </c>
      <c r="AU16" s="257"/>
      <c r="AV16" s="257"/>
      <c r="AW16" s="257"/>
      <c r="AX16" s="257"/>
      <c r="AY16" s="257"/>
      <c r="AZ16" s="257"/>
      <c r="BA16" s="257"/>
      <c r="BB16" s="258"/>
    </row>
    <row r="17" spans="18:62" s="72" customFormat="1" ht="60" customHeight="1">
      <c r="S17" s="73" t="s">
        <v>15</v>
      </c>
      <c r="T17" s="300" t="s">
        <v>44</v>
      </c>
      <c r="U17" s="301"/>
      <c r="V17" s="302" t="s">
        <v>45</v>
      </c>
      <c r="W17" s="303"/>
      <c r="X17" s="74" t="s">
        <v>46</v>
      </c>
      <c r="Y17" s="75" t="s">
        <v>67</v>
      </c>
      <c r="Z17" s="304" t="s">
        <v>47</v>
      </c>
      <c r="AA17" s="304"/>
      <c r="AB17" s="304"/>
      <c r="AC17" s="304"/>
      <c r="AD17" s="304"/>
      <c r="AE17" s="304"/>
      <c r="AF17" s="304"/>
      <c r="AG17" s="305" t="s">
        <v>48</v>
      </c>
      <c r="AH17" s="306"/>
      <c r="AI17" s="307" t="s">
        <v>49</v>
      </c>
      <c r="AJ17" s="307"/>
      <c r="AK17" s="92"/>
      <c r="AL17" s="308" t="s">
        <v>68</v>
      </c>
      <c r="AM17" s="309"/>
      <c r="AN17" s="310"/>
      <c r="AO17" s="288" t="s">
        <v>50</v>
      </c>
      <c r="AP17" s="289"/>
      <c r="AQ17" s="289"/>
      <c r="AR17" s="289"/>
      <c r="AS17" s="289"/>
      <c r="AT17" s="76" t="s">
        <v>51</v>
      </c>
      <c r="AU17" s="290" t="s">
        <v>33</v>
      </c>
      <c r="AV17" s="291"/>
      <c r="AW17" s="77" t="s">
        <v>34</v>
      </c>
      <c r="AX17" s="77" t="s">
        <v>66</v>
      </c>
      <c r="AY17" s="77" t="s">
        <v>35</v>
      </c>
      <c r="AZ17" s="77" t="s">
        <v>92</v>
      </c>
      <c r="BA17" s="292" t="s">
        <v>52</v>
      </c>
      <c r="BB17" s="293"/>
    </row>
    <row r="18" spans="18:62" ht="60.75" customHeight="1">
      <c r="S18" s="78">
        <v>1</v>
      </c>
      <c r="T18" s="294"/>
      <c r="U18" s="295"/>
      <c r="V18" s="280"/>
      <c r="W18" s="281"/>
      <c r="X18" s="79" t="str">
        <f>TEXT(MOD(V18-T18,1),"h:mm")</f>
        <v>0:00</v>
      </c>
      <c r="Y18" s="80"/>
      <c r="Z18" s="282"/>
      <c r="AA18" s="282"/>
      <c r="AB18" s="282"/>
      <c r="AC18" s="282"/>
      <c r="AD18" s="282"/>
      <c r="AE18" s="282"/>
      <c r="AF18" s="282"/>
      <c r="AG18" s="296">
        <f>SUM(AX7:AX9)</f>
        <v>0</v>
      </c>
      <c r="AH18" s="297"/>
      <c r="AI18" s="298">
        <f>SUM(AX10:AX12)</f>
        <v>0</v>
      </c>
      <c r="AJ18" s="298"/>
      <c r="AK18" s="93"/>
      <c r="AL18" s="298">
        <f>SUM(AX13:AX15)</f>
        <v>0</v>
      </c>
      <c r="AM18" s="298"/>
      <c r="AN18" s="298"/>
      <c r="AO18" s="299">
        <f>SUM(AG18:AN18)</f>
        <v>0</v>
      </c>
      <c r="AP18" s="299"/>
      <c r="AQ18" s="299"/>
      <c r="AR18" s="299"/>
      <c r="AS18" s="299"/>
      <c r="AT18" s="81" t="s">
        <v>1</v>
      </c>
      <c r="AU18" s="276">
        <f>SUM(AS7:AS9)</f>
        <v>0</v>
      </c>
      <c r="AV18" s="277"/>
      <c r="AW18" s="82">
        <f>SUM(AT7:AT9)</f>
        <v>0</v>
      </c>
      <c r="AX18" s="82">
        <f>SUM(AV7:AV9)</f>
        <v>0</v>
      </c>
      <c r="AY18" s="82">
        <f>SUM(AU7:AU9)</f>
        <v>0</v>
      </c>
      <c r="AZ18" s="82">
        <f>SUM(AW7:AW9)</f>
        <v>0</v>
      </c>
      <c r="BA18" s="276">
        <f>SUM(AU18:AZ18)</f>
        <v>0</v>
      </c>
      <c r="BB18" s="277"/>
    </row>
    <row r="19" spans="18:62" ht="60.75" customHeight="1">
      <c r="S19" s="78">
        <v>2</v>
      </c>
      <c r="T19" s="278"/>
      <c r="U19" s="279"/>
      <c r="V19" s="280"/>
      <c r="W19" s="281"/>
      <c r="X19" s="79" t="str">
        <f>TEXT(MOD(V19-T19,1),"h:mm")</f>
        <v>0:00</v>
      </c>
      <c r="Y19" s="80"/>
      <c r="Z19" s="282"/>
      <c r="AA19" s="282"/>
      <c r="AB19" s="282"/>
      <c r="AC19" s="282"/>
      <c r="AD19" s="282"/>
      <c r="AE19" s="282"/>
      <c r="AF19" s="282"/>
      <c r="AG19" s="283" t="s">
        <v>41</v>
      </c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5"/>
      <c r="AT19" s="83" t="s">
        <v>5</v>
      </c>
      <c r="AU19" s="286">
        <f>SUM(AS10:AS12)</f>
        <v>0</v>
      </c>
      <c r="AV19" s="287"/>
      <c r="AW19" s="84">
        <f>SUM(AT10:AT12)</f>
        <v>0</v>
      </c>
      <c r="AX19" s="84">
        <f>SUM(AV10:AV12)</f>
        <v>0</v>
      </c>
      <c r="AY19" s="84">
        <f>SUM(AU10:AU12)</f>
        <v>0</v>
      </c>
      <c r="AZ19" s="84">
        <f>SUM(AW10:AW12)</f>
        <v>0</v>
      </c>
      <c r="BA19" s="286">
        <f>SUM(AU19:AZ19)</f>
        <v>0</v>
      </c>
      <c r="BB19" s="287"/>
    </row>
    <row r="20" spans="18:62" ht="60.75" customHeight="1">
      <c r="S20" s="78">
        <v>3</v>
      </c>
      <c r="T20" s="278"/>
      <c r="U20" s="279"/>
      <c r="V20" s="280"/>
      <c r="W20" s="281"/>
      <c r="X20" s="79" t="str">
        <f>TEXT(MOD(V20-T20,1),"h:mm")</f>
        <v>0:00</v>
      </c>
      <c r="Y20" s="80"/>
      <c r="Z20" s="327"/>
      <c r="AA20" s="327"/>
      <c r="AB20" s="327"/>
      <c r="AC20" s="327"/>
      <c r="AD20" s="327"/>
      <c r="AE20" s="327"/>
      <c r="AF20" s="327"/>
      <c r="AG20" s="311">
        <f>SUM(BB7:BB9)</f>
        <v>0</v>
      </c>
      <c r="AH20" s="328"/>
      <c r="AI20" s="311">
        <f>SUM(BB10:BB12)</f>
        <v>0</v>
      </c>
      <c r="AJ20" s="328"/>
      <c r="AK20" s="94"/>
      <c r="AL20" s="311">
        <f>SUM(BB13:BB15)</f>
        <v>0</v>
      </c>
      <c r="AM20" s="329"/>
      <c r="AN20" s="328"/>
      <c r="AO20" s="311">
        <f>SUM(AG20:AN20)</f>
        <v>0</v>
      </c>
      <c r="AP20" s="312"/>
      <c r="AQ20" s="312"/>
      <c r="AR20" s="312"/>
      <c r="AS20" s="313"/>
      <c r="AT20" s="91" t="s">
        <v>65</v>
      </c>
      <c r="AU20" s="314">
        <f>SUM(AS13:AS15)</f>
        <v>0</v>
      </c>
      <c r="AV20" s="315"/>
      <c r="AW20" s="99">
        <f>SUM(AT13:AT15)</f>
        <v>0</v>
      </c>
      <c r="AX20" s="99">
        <f>SUM(AV13:AV15)</f>
        <v>0</v>
      </c>
      <c r="AY20" s="99">
        <f>SUM(AU13:AU15)</f>
        <v>0</v>
      </c>
      <c r="AZ20" s="99">
        <f>SUM(AW13:AW15)</f>
        <v>0</v>
      </c>
      <c r="BA20" s="316">
        <f>SUM(AU20:AZ20)</f>
        <v>0</v>
      </c>
      <c r="BB20" s="317"/>
    </row>
    <row r="21" spans="18:62" ht="60.75" customHeight="1">
      <c r="S21" s="78">
        <v>4</v>
      </c>
      <c r="T21" s="278"/>
      <c r="U21" s="279"/>
      <c r="V21" s="280"/>
      <c r="W21" s="281"/>
      <c r="X21" s="79" t="str">
        <f>TEXT(MOD(V21-T21,1),"h:mm")</f>
        <v>0:00</v>
      </c>
      <c r="Y21" s="80"/>
      <c r="Z21" s="318"/>
      <c r="AA21" s="318"/>
      <c r="AB21" s="318"/>
      <c r="AC21" s="318"/>
      <c r="AD21" s="318"/>
      <c r="AE21" s="318"/>
      <c r="AF21" s="318"/>
      <c r="AG21" s="319" t="s">
        <v>54</v>
      </c>
      <c r="AH21" s="320"/>
      <c r="AI21" s="320"/>
      <c r="AJ21" s="320"/>
      <c r="AK21" s="320"/>
      <c r="AL21" s="320"/>
      <c r="AM21" s="320"/>
      <c r="AN21" s="320"/>
      <c r="AO21" s="320"/>
      <c r="AP21" s="320"/>
      <c r="AQ21" s="320"/>
      <c r="AR21" s="320"/>
      <c r="AS21" s="321"/>
      <c r="AT21" s="322" t="s">
        <v>55</v>
      </c>
      <c r="AU21" s="323"/>
      <c r="AV21" s="324"/>
      <c r="AW21" s="325">
        <v>1680</v>
      </c>
      <c r="AX21" s="326"/>
      <c r="AY21" s="322" t="s">
        <v>56</v>
      </c>
      <c r="AZ21" s="324"/>
      <c r="BA21" s="330">
        <v>1628</v>
      </c>
      <c r="BB21" s="331"/>
    </row>
    <row r="22" spans="18:62" ht="54" customHeight="1">
      <c r="S22" s="78">
        <v>5</v>
      </c>
      <c r="T22" s="278"/>
      <c r="U22" s="279"/>
      <c r="V22" s="280"/>
      <c r="W22" s="281"/>
      <c r="X22" s="79" t="str">
        <f>TEXT(MOD(V22-T22,1),"h:mm")</f>
        <v>0:00</v>
      </c>
      <c r="Y22" s="80"/>
      <c r="Z22" s="318"/>
      <c r="AA22" s="318"/>
      <c r="AB22" s="318"/>
      <c r="AC22" s="318"/>
      <c r="AD22" s="318"/>
      <c r="AE22" s="318"/>
      <c r="AF22" s="318"/>
      <c r="AG22" s="357">
        <f>SUM(AY7:BA9)</f>
        <v>0</v>
      </c>
      <c r="AH22" s="357"/>
      <c r="AI22" s="298">
        <f>SUM(AY10:BA12)</f>
        <v>0</v>
      </c>
      <c r="AJ22" s="298"/>
      <c r="AK22" s="95"/>
      <c r="AL22" s="358">
        <f>SUM(AY13:BA15)</f>
        <v>0</v>
      </c>
      <c r="AM22" s="358"/>
      <c r="AN22" s="359"/>
      <c r="AO22" s="360">
        <f>SUM(AG22:AN22)</f>
        <v>0</v>
      </c>
      <c r="AP22" s="361"/>
      <c r="AQ22" s="361"/>
      <c r="AR22" s="361"/>
      <c r="AS22" s="362"/>
      <c r="AT22" s="98" t="s">
        <v>69</v>
      </c>
      <c r="AU22" s="363" t="s">
        <v>48</v>
      </c>
      <c r="AV22" s="364"/>
      <c r="AW22" s="365" t="s">
        <v>49</v>
      </c>
      <c r="AX22" s="366"/>
      <c r="AY22" s="332" t="s">
        <v>68</v>
      </c>
      <c r="AZ22" s="333"/>
      <c r="BA22" s="334" t="s">
        <v>57</v>
      </c>
      <c r="BB22" s="335"/>
    </row>
    <row r="23" spans="18:62" ht="59.25" customHeight="1">
      <c r="S23" s="336" t="s">
        <v>61</v>
      </c>
      <c r="T23" s="337"/>
      <c r="U23" s="337"/>
      <c r="V23" s="337"/>
      <c r="W23" s="338"/>
      <c r="X23" s="85">
        <f>SUM(X18+X19+X20+X21+X22)</f>
        <v>0</v>
      </c>
      <c r="Y23" s="145" t="s">
        <v>62</v>
      </c>
      <c r="Z23" s="86"/>
      <c r="AA23" s="87"/>
      <c r="AB23" s="87"/>
      <c r="AC23" s="339" t="s">
        <v>63</v>
      </c>
      <c r="AD23" s="339"/>
      <c r="AE23" s="340"/>
      <c r="AF23" s="341"/>
      <c r="AG23" s="342" t="s">
        <v>22</v>
      </c>
      <c r="AH23" s="343"/>
      <c r="AI23" s="344"/>
      <c r="AJ23" s="345" t="s">
        <v>48</v>
      </c>
      <c r="AK23" s="346"/>
      <c r="AL23" s="346"/>
      <c r="AM23" s="347"/>
      <c r="AN23" s="348" t="s">
        <v>49</v>
      </c>
      <c r="AO23" s="348"/>
      <c r="AP23" s="348"/>
      <c r="AQ23" s="349" t="s">
        <v>68</v>
      </c>
      <c r="AR23" s="350"/>
      <c r="AS23" s="351"/>
      <c r="AT23" s="96" t="s">
        <v>60</v>
      </c>
      <c r="AU23" s="352">
        <f>SUM(AQ7:AQ9)</f>
        <v>0</v>
      </c>
      <c r="AV23" s="353"/>
      <c r="AW23" s="352">
        <f>SUM(AQ10:AQ12)</f>
        <v>0</v>
      </c>
      <c r="AX23" s="354"/>
      <c r="AY23" s="352">
        <f>SUM(AQ13:AQ15)</f>
        <v>0</v>
      </c>
      <c r="AZ23" s="353"/>
      <c r="BA23" s="355">
        <f>SUM(AU23:AZ23)</f>
        <v>0</v>
      </c>
      <c r="BB23" s="356"/>
    </row>
    <row r="24" spans="18:62" ht="57" customHeight="1">
      <c r="S24" s="367"/>
      <c r="T24" s="368"/>
      <c r="U24" s="368"/>
      <c r="V24" s="368"/>
      <c r="W24" s="369"/>
      <c r="X24" s="373" t="s">
        <v>73</v>
      </c>
      <c r="Y24" s="104" t="s">
        <v>70</v>
      </c>
      <c r="Z24" s="105" t="s">
        <v>71</v>
      </c>
      <c r="AA24" s="103"/>
      <c r="AB24" s="103"/>
      <c r="AC24" s="375" t="s">
        <v>72</v>
      </c>
      <c r="AD24" s="376"/>
      <c r="AE24" s="377" t="s">
        <v>57</v>
      </c>
      <c r="AF24" s="378"/>
      <c r="AG24" s="379" t="s">
        <v>58</v>
      </c>
      <c r="AH24" s="380"/>
      <c r="AI24" s="381"/>
      <c r="AJ24" s="382">
        <f>AVERAGE(Z7:Z9)</f>
        <v>0</v>
      </c>
      <c r="AK24" s="383"/>
      <c r="AL24" s="383"/>
      <c r="AM24" s="383"/>
      <c r="AN24" s="382">
        <f>AVERAGE(Z10:Z11)</f>
        <v>0</v>
      </c>
      <c r="AO24" s="383"/>
      <c r="AP24" s="383"/>
      <c r="AQ24" s="382">
        <f>AVERAGE(Z13:Z14)</f>
        <v>0</v>
      </c>
      <c r="AR24" s="383"/>
      <c r="AS24" s="383"/>
      <c r="AT24" s="97" t="s">
        <v>64</v>
      </c>
      <c r="AU24" s="387">
        <f>SUM(AL7:AP9)</f>
        <v>0</v>
      </c>
      <c r="AV24" s="388"/>
      <c r="AW24" s="387">
        <f>SUM(AL10:AP12)</f>
        <v>0</v>
      </c>
      <c r="AX24" s="388"/>
      <c r="AY24" s="387">
        <f>SUM(AL13:AP15)</f>
        <v>0</v>
      </c>
      <c r="AZ24" s="388"/>
      <c r="BA24" s="389">
        <f>SUM(AU24:AZ24)</f>
        <v>0</v>
      </c>
      <c r="BB24" s="390"/>
    </row>
    <row r="25" spans="18:62" ht="52.5" customHeight="1">
      <c r="S25" s="370"/>
      <c r="T25" s="371"/>
      <c r="U25" s="371"/>
      <c r="V25" s="371"/>
      <c r="W25" s="372"/>
      <c r="X25" s="374"/>
      <c r="Y25" s="106">
        <f>SUM(AD7:AD9)</f>
        <v>0</v>
      </c>
      <c r="Z25" s="106">
        <f>SUM(AD10:AD12)</f>
        <v>0</v>
      </c>
      <c r="AA25" s="107"/>
      <c r="AB25" s="107"/>
      <c r="AC25" s="391">
        <f>SUM(AD13:AD15)</f>
        <v>0</v>
      </c>
      <c r="AD25" s="392"/>
      <c r="AE25" s="393">
        <f>SUM(Y25:AD25)</f>
        <v>0</v>
      </c>
      <c r="AF25" s="394"/>
      <c r="AG25" s="379" t="s">
        <v>59</v>
      </c>
      <c r="AH25" s="380"/>
      <c r="AI25" s="381"/>
      <c r="AJ25" s="382">
        <f>SUM(Z7:Z9)</f>
        <v>0</v>
      </c>
      <c r="AK25" s="383"/>
      <c r="AL25" s="383"/>
      <c r="AM25" s="383"/>
      <c r="AN25" s="382">
        <f>SUM(Z10:Z12)</f>
        <v>0</v>
      </c>
      <c r="AO25" s="383"/>
      <c r="AP25" s="383"/>
      <c r="AQ25" s="382">
        <f>SUM(Z13:Z15)</f>
        <v>0</v>
      </c>
      <c r="AR25" s="383"/>
      <c r="AS25" s="383"/>
      <c r="AT25" s="384"/>
      <c r="AU25" s="385"/>
      <c r="AV25" s="385"/>
      <c r="AW25" s="385"/>
      <c r="AX25" s="385"/>
      <c r="AY25" s="385"/>
      <c r="AZ25" s="385"/>
      <c r="BA25" s="385"/>
      <c r="BB25" s="386"/>
    </row>
    <row r="26" spans="18:62" ht="60.75" customHeight="1"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8:62" ht="30" customHeight="1"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8:62" ht="30" customHeight="1"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T28" s="4"/>
      <c r="AU28" s="4"/>
      <c r="AV28" s="4"/>
      <c r="AW28" s="4"/>
      <c r="AX28" s="4"/>
      <c r="AY28" s="4"/>
      <c r="AZ28" s="4"/>
      <c r="BA28" s="4"/>
    </row>
    <row r="29" spans="18:62" ht="30" customHeight="1"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T29" s="4"/>
      <c r="AU29" s="4"/>
      <c r="AV29" s="4"/>
      <c r="AW29" s="4"/>
      <c r="AX29" s="4"/>
      <c r="AY29" s="4"/>
      <c r="AZ29" s="4"/>
      <c r="BA29" s="4"/>
    </row>
    <row r="30" spans="18:62" ht="30" customHeight="1">
      <c r="R30" s="3"/>
      <c r="S30" s="3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T30" s="4"/>
      <c r="AU30" s="4"/>
      <c r="AV30" s="4"/>
      <c r="AW30" s="4"/>
      <c r="AX30" s="4"/>
      <c r="AY30" s="4"/>
      <c r="AZ30" s="4"/>
      <c r="BA30" s="4"/>
    </row>
    <row r="31" spans="18:62" ht="30" customHeight="1">
      <c r="R31" s="3"/>
      <c r="S31" s="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T31" s="4"/>
      <c r="AU31" s="4"/>
      <c r="AV31" s="4"/>
      <c r="AW31" s="4"/>
      <c r="AX31" s="4"/>
      <c r="AY31" s="4"/>
      <c r="AZ31" s="4"/>
      <c r="BA31" s="4"/>
    </row>
    <row r="32" spans="18:62" ht="15" customHeight="1">
      <c r="S32" s="3"/>
      <c r="BJ32" s="4">
        <v>8</v>
      </c>
    </row>
  </sheetData>
  <mergeCells count="145">
    <mergeCell ref="S24:W25"/>
    <mergeCell ref="X24:X25"/>
    <mergeCell ref="AC24:AD24"/>
    <mergeCell ref="AE24:AF24"/>
    <mergeCell ref="AG24:AI24"/>
    <mergeCell ref="AJ24:AM24"/>
    <mergeCell ref="AN24:AP24"/>
    <mergeCell ref="AQ25:AS25"/>
    <mergeCell ref="AT25:BB25"/>
    <mergeCell ref="AQ24:AS24"/>
    <mergeCell ref="AU24:AV24"/>
    <mergeCell ref="AW24:AX24"/>
    <mergeCell ref="AY24:AZ24"/>
    <mergeCell ref="BA24:BB24"/>
    <mergeCell ref="AC25:AD25"/>
    <mergeCell ref="AE25:AF25"/>
    <mergeCell ref="AG25:AI25"/>
    <mergeCell ref="AJ25:AM25"/>
    <mergeCell ref="AN25:AP25"/>
    <mergeCell ref="AY22:AZ22"/>
    <mergeCell ref="BA22:BB22"/>
    <mergeCell ref="S23:W23"/>
    <mergeCell ref="AC23:AD23"/>
    <mergeCell ref="AE23:AF23"/>
    <mergeCell ref="AG23:AI23"/>
    <mergeCell ref="AJ23:AM23"/>
    <mergeCell ref="AN23:AP23"/>
    <mergeCell ref="AQ23:AS23"/>
    <mergeCell ref="AU23:AV23"/>
    <mergeCell ref="AW23:AX23"/>
    <mergeCell ref="AY23:AZ23"/>
    <mergeCell ref="BA23:BB23"/>
    <mergeCell ref="T22:U22"/>
    <mergeCell ref="V22:W22"/>
    <mergeCell ref="Z22:AF22"/>
    <mergeCell ref="AG22:AH22"/>
    <mergeCell ref="AI22:AJ22"/>
    <mergeCell ref="AL22:AN22"/>
    <mergeCell ref="AO22:AS22"/>
    <mergeCell ref="AU22:AV22"/>
    <mergeCell ref="AW22:AX22"/>
    <mergeCell ref="AO20:AS20"/>
    <mergeCell ref="AU20:AV20"/>
    <mergeCell ref="BA20:BB20"/>
    <mergeCell ref="T21:U21"/>
    <mergeCell ref="V21:W21"/>
    <mergeCell ref="Z21:AF21"/>
    <mergeCell ref="AG21:AS21"/>
    <mergeCell ref="AT21:AV21"/>
    <mergeCell ref="AW21:AX21"/>
    <mergeCell ref="AY21:AZ21"/>
    <mergeCell ref="T20:U20"/>
    <mergeCell ref="V20:W20"/>
    <mergeCell ref="Z20:AF20"/>
    <mergeCell ref="AG20:AH20"/>
    <mergeCell ref="AI20:AJ20"/>
    <mergeCell ref="AL20:AN20"/>
    <mergeCell ref="BA21:BB21"/>
    <mergeCell ref="AU18:AV18"/>
    <mergeCell ref="BA18:BB18"/>
    <mergeCell ref="T19:U19"/>
    <mergeCell ref="V19:W19"/>
    <mergeCell ref="Z19:AF19"/>
    <mergeCell ref="AG19:AS19"/>
    <mergeCell ref="AU19:AV19"/>
    <mergeCell ref="BA19:BB19"/>
    <mergeCell ref="AO17:AS17"/>
    <mergeCell ref="AU17:AV17"/>
    <mergeCell ref="BA17:BB17"/>
    <mergeCell ref="T18:U18"/>
    <mergeCell ref="V18:W18"/>
    <mergeCell ref="Z18:AF18"/>
    <mergeCell ref="AG18:AH18"/>
    <mergeCell ref="AI18:AJ18"/>
    <mergeCell ref="AL18:AN18"/>
    <mergeCell ref="AO18:AS18"/>
    <mergeCell ref="T17:U17"/>
    <mergeCell ref="V17:W17"/>
    <mergeCell ref="Z17:AF17"/>
    <mergeCell ref="AG17:AH17"/>
    <mergeCell ref="AI17:AJ17"/>
    <mergeCell ref="AL17:AN17"/>
    <mergeCell ref="S16:AF16"/>
    <mergeCell ref="AG16:AS16"/>
    <mergeCell ref="AT16:BB16"/>
    <mergeCell ref="AU5:AU6"/>
    <mergeCell ref="AV5:AV6"/>
    <mergeCell ref="AW5:AW6"/>
    <mergeCell ref="AX5:AX6"/>
    <mergeCell ref="AY5:AY6"/>
    <mergeCell ref="AZ5:AZ6"/>
    <mergeCell ref="AH5:AH6"/>
    <mergeCell ref="AI5:AI6"/>
    <mergeCell ref="AJ5:AJ6"/>
    <mergeCell ref="AK5:AR5"/>
    <mergeCell ref="AS5:AS6"/>
    <mergeCell ref="AT5:AT6"/>
    <mergeCell ref="AB5:AB6"/>
    <mergeCell ref="AC5:AC6"/>
    <mergeCell ref="AD5:AD6"/>
    <mergeCell ref="AE5:AE6"/>
    <mergeCell ref="S4:Z4"/>
    <mergeCell ref="AA4:AB4"/>
    <mergeCell ref="AC4:AD4"/>
    <mergeCell ref="AE4:AJ4"/>
    <mergeCell ref="AL4:AQ4"/>
    <mergeCell ref="AS4:AW4"/>
    <mergeCell ref="T7:T9"/>
    <mergeCell ref="T10:T12"/>
    <mergeCell ref="T13:T15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Q1:AT1"/>
    <mergeCell ref="AU1:AW1"/>
    <mergeCell ref="AF5:AF6"/>
    <mergeCell ref="AG5:AG6"/>
    <mergeCell ref="AX1:BB3"/>
    <mergeCell ref="AC2:AE2"/>
    <mergeCell ref="AF2:AH2"/>
    <mergeCell ref="AI2:AL2"/>
    <mergeCell ref="AM2:AP2"/>
    <mergeCell ref="AQ2:AT2"/>
    <mergeCell ref="AU2:AW2"/>
    <mergeCell ref="AC3:AE3"/>
    <mergeCell ref="AQ3:AT3"/>
    <mergeCell ref="AU3:AW3"/>
    <mergeCell ref="AX4:BB4"/>
    <mergeCell ref="BA5:BA6"/>
    <mergeCell ref="BB5:BB6"/>
    <mergeCell ref="S1:W3"/>
    <mergeCell ref="X1:Y3"/>
    <mergeCell ref="AC1:AE1"/>
    <mergeCell ref="AF1:AH1"/>
    <mergeCell ref="AI1:AL1"/>
    <mergeCell ref="AM1:AP1"/>
    <mergeCell ref="AF3:AH3"/>
    <mergeCell ref="AI3:AL3"/>
    <mergeCell ref="AM3:AP3"/>
  </mergeCells>
  <conditionalFormatting sqref="Z7:Z15">
    <cfRule type="cellIs" dxfId="377" priority="3" operator="greaterThan">
      <formula>0.167361111111111</formula>
    </cfRule>
    <cfRule type="cellIs" dxfId="376" priority="4" operator="greaterThan">
      <formula>0.15625</formula>
    </cfRule>
  </conditionalFormatting>
  <conditionalFormatting sqref="AA7:AJ15">
    <cfRule type="cellIs" dxfId="375" priority="11" operator="between">
      <formula>1700</formula>
      <formula>1710</formula>
    </cfRule>
    <cfRule type="cellIs" dxfId="374" priority="12" operator="between">
      <formula>1691</formula>
      <formula>1700</formula>
    </cfRule>
  </conditionalFormatting>
  <conditionalFormatting sqref="AS7:AS15">
    <cfRule type="expression" dxfId="373" priority="13">
      <formula>IF(($AS7/$AX7)*1000&gt;$AY$1,1,0)</formula>
    </cfRule>
  </conditionalFormatting>
  <conditionalFormatting sqref="AT7:AW15">
    <cfRule type="cellIs" dxfId="372" priority="5" operator="greaterThan">
      <formula>10</formula>
    </cfRule>
  </conditionalFormatting>
  <conditionalFormatting sqref="AX7:AX15">
    <cfRule type="cellIs" dxfId="371" priority="2" operator="between">
      <formula>16000</formula>
      <formula>17200</formula>
    </cfRule>
    <cfRule type="cellIs" dxfId="370" priority="6" operator="lessThan">
      <formula>15800</formula>
    </cfRule>
    <cfRule type="cellIs" dxfId="369" priority="7" operator="greaterThan">
      <formula>18000</formula>
    </cfRule>
  </conditionalFormatting>
  <conditionalFormatting sqref="AZ7:BA15">
    <cfRule type="cellIs" dxfId="368" priority="10" operator="greaterThan">
      <formula>0</formula>
    </cfRule>
  </conditionalFormatting>
  <conditionalFormatting sqref="BB7:BB15">
    <cfRule type="cellIs" dxfId="367" priority="1" operator="between">
      <formula>16000</formula>
      <formula>17200</formula>
    </cfRule>
    <cfRule type="cellIs" dxfId="366" priority="8" operator="greaterThan">
      <formula>18000</formula>
    </cfRule>
    <cfRule type="cellIs" dxfId="365" priority="9" operator="lessThan">
      <formula>15800</formula>
    </cfRule>
  </conditionalFormatting>
  <printOptions horizontalCentered="1" verticalCentered="1"/>
  <pageMargins left="0" right="0" top="0" bottom="0.21" header="0" footer="0"/>
  <pageSetup paperSize="9" scale="42" orientation="landscape" cellComments="asDisplayed" r:id="rId1"/>
  <headerFooter differentFirst="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F203D-E39B-4664-AA03-B25A3D391DB8}">
  <sheetPr>
    <tabColor theme="5"/>
    <pageSetUpPr fitToPage="1"/>
  </sheetPr>
  <dimension ref="R1:BJ32"/>
  <sheetViews>
    <sheetView showGridLines="0" rightToLeft="1" topLeftCell="S1" zoomScale="55" zoomScaleNormal="55" zoomScalePageLayoutView="40" workbookViewId="0">
      <selection activeCell="AT10" sqref="AT10"/>
    </sheetView>
  </sheetViews>
  <sheetFormatPr defaultColWidth="9.140625" defaultRowHeight="15"/>
  <cols>
    <col min="1" max="18" width="9.140625" style="4"/>
    <col min="19" max="19" width="5.7109375" style="4" customWidth="1"/>
    <col min="20" max="20" width="9.5703125" style="3" customWidth="1"/>
    <col min="21" max="21" width="10.7109375" style="3" customWidth="1"/>
    <col min="22" max="22" width="9.42578125" style="88" customWidth="1"/>
    <col min="23" max="23" width="8.85546875" style="88" customWidth="1"/>
    <col min="24" max="24" width="14.42578125" style="3" customWidth="1"/>
    <col min="25" max="25" width="14.7109375" style="3" customWidth="1"/>
    <col min="26" max="26" width="15.140625" style="88" customWidth="1"/>
    <col min="27" max="27" width="9.5703125" style="3" hidden="1" customWidth="1"/>
    <col min="28" max="28" width="10" style="3" hidden="1" customWidth="1"/>
    <col min="29" max="29" width="8.140625" style="3" customWidth="1"/>
    <col min="30" max="30" width="8.5703125" style="3" customWidth="1"/>
    <col min="31" max="31" width="12.42578125" style="3" customWidth="1"/>
    <col min="32" max="32" width="10.5703125" style="3" customWidth="1"/>
    <col min="33" max="33" width="9.5703125" style="3" customWidth="1"/>
    <col min="34" max="34" width="11.42578125" style="3" customWidth="1"/>
    <col min="35" max="35" width="9.42578125" style="3" customWidth="1"/>
    <col min="36" max="36" width="9.28515625" style="3" customWidth="1"/>
    <col min="37" max="37" width="6.7109375" style="3" hidden="1" customWidth="1"/>
    <col min="38" max="42" width="6.7109375" style="3" customWidth="1"/>
    <col min="43" max="43" width="8.140625" style="3" customWidth="1"/>
    <col min="44" max="44" width="6.7109375" style="3" hidden="1" customWidth="1"/>
    <col min="45" max="45" width="10.42578125" style="3" customWidth="1"/>
    <col min="46" max="46" width="8.7109375" style="3" customWidth="1"/>
    <col min="47" max="47" width="8.5703125" style="3" customWidth="1"/>
    <col min="48" max="48" width="8.7109375" style="3" customWidth="1"/>
    <col min="49" max="49" width="9.5703125" style="3" customWidth="1"/>
    <col min="50" max="50" width="12.42578125" style="88" customWidth="1"/>
    <col min="51" max="51" width="11.85546875" style="3" customWidth="1"/>
    <col min="52" max="52" width="11.5703125" style="3" customWidth="1"/>
    <col min="53" max="53" width="13.42578125" style="3" customWidth="1"/>
    <col min="54" max="54" width="13.5703125" style="4" customWidth="1"/>
    <col min="55" max="57" width="9.140625" style="4"/>
    <col min="58" max="58" width="25" style="4" customWidth="1"/>
    <col min="59" max="61" width="9.140625" style="4"/>
    <col min="62" max="62" width="23.5703125" style="4" customWidth="1"/>
    <col min="63" max="16384" width="9.140625" style="4"/>
  </cols>
  <sheetData>
    <row r="1" spans="19:54" ht="36.75" customHeight="1" thickBot="1">
      <c r="S1" s="180"/>
      <c r="T1" s="181"/>
      <c r="U1" s="181"/>
      <c r="V1" s="181"/>
      <c r="W1" s="181"/>
      <c r="X1" s="182" t="s">
        <v>0</v>
      </c>
      <c r="Y1" s="183"/>
      <c r="Z1" s="1" t="s">
        <v>1</v>
      </c>
      <c r="AA1" s="2"/>
      <c r="AC1" s="188" t="s">
        <v>2</v>
      </c>
      <c r="AD1" s="189"/>
      <c r="AE1" s="189"/>
      <c r="AF1" s="190" t="s">
        <v>75</v>
      </c>
      <c r="AG1" s="191"/>
      <c r="AH1" s="192"/>
      <c r="AI1" s="193" t="s">
        <v>3</v>
      </c>
      <c r="AJ1" s="194"/>
      <c r="AK1" s="194"/>
      <c r="AL1" s="195"/>
      <c r="AM1" s="196" t="s">
        <v>76</v>
      </c>
      <c r="AN1" s="197"/>
      <c r="AO1" s="197"/>
      <c r="AP1" s="198"/>
      <c r="AQ1" s="203" t="s">
        <v>4</v>
      </c>
      <c r="AR1" s="204"/>
      <c r="AS1" s="204"/>
      <c r="AT1" s="205"/>
      <c r="AU1" s="206" t="s">
        <v>74</v>
      </c>
      <c r="AV1" s="207"/>
      <c r="AW1" s="208"/>
      <c r="AX1" s="211" t="s">
        <v>120</v>
      </c>
      <c r="AY1" s="211"/>
      <c r="AZ1" s="211"/>
      <c r="BA1" s="211"/>
      <c r="BB1" s="211"/>
    </row>
    <row r="2" spans="19:54" ht="36.75" customHeight="1" thickBot="1">
      <c r="S2" s="180"/>
      <c r="T2" s="181"/>
      <c r="U2" s="181"/>
      <c r="V2" s="181"/>
      <c r="W2" s="181"/>
      <c r="X2" s="184"/>
      <c r="Y2" s="185"/>
      <c r="Z2" s="5" t="s">
        <v>5</v>
      </c>
      <c r="AA2" s="89"/>
      <c r="AC2" s="188" t="s">
        <v>2</v>
      </c>
      <c r="AD2" s="189"/>
      <c r="AE2" s="212"/>
      <c r="AF2" s="190" t="s">
        <v>78</v>
      </c>
      <c r="AG2" s="191"/>
      <c r="AH2" s="192"/>
      <c r="AI2" s="193" t="s">
        <v>3</v>
      </c>
      <c r="AJ2" s="194"/>
      <c r="AK2" s="194"/>
      <c r="AL2" s="195"/>
      <c r="AM2" s="202" t="s">
        <v>79</v>
      </c>
      <c r="AN2" s="202"/>
      <c r="AO2" s="202"/>
      <c r="AP2" s="202"/>
      <c r="AQ2" s="203" t="s">
        <v>4</v>
      </c>
      <c r="AR2" s="204"/>
      <c r="AS2" s="204"/>
      <c r="AT2" s="205"/>
      <c r="AU2" s="213" t="s">
        <v>77</v>
      </c>
      <c r="AV2" s="213"/>
      <c r="AW2" s="213"/>
      <c r="AX2" s="211"/>
      <c r="AY2" s="211"/>
      <c r="AZ2" s="211"/>
      <c r="BA2" s="211"/>
      <c r="BB2" s="211"/>
    </row>
    <row r="3" spans="19:54" ht="38.25" customHeight="1" thickBot="1">
      <c r="S3" s="181"/>
      <c r="T3" s="181"/>
      <c r="U3" s="181"/>
      <c r="V3" s="181"/>
      <c r="W3" s="181"/>
      <c r="X3" s="186"/>
      <c r="Y3" s="187"/>
      <c r="Z3" s="90" t="s">
        <v>65</v>
      </c>
      <c r="AA3" s="6"/>
      <c r="AC3" s="188" t="s">
        <v>6</v>
      </c>
      <c r="AD3" s="189"/>
      <c r="AE3" s="212"/>
      <c r="AF3" s="190" t="s">
        <v>81</v>
      </c>
      <c r="AG3" s="191"/>
      <c r="AH3" s="192"/>
      <c r="AI3" s="199" t="s">
        <v>7</v>
      </c>
      <c r="AJ3" s="200"/>
      <c r="AK3" s="200"/>
      <c r="AL3" s="201"/>
      <c r="AM3" s="202" t="s">
        <v>82</v>
      </c>
      <c r="AN3" s="202"/>
      <c r="AO3" s="202"/>
      <c r="AP3" s="202"/>
      <c r="AQ3" s="203" t="s">
        <v>4</v>
      </c>
      <c r="AR3" s="204"/>
      <c r="AS3" s="204"/>
      <c r="AT3" s="214"/>
      <c r="AU3" s="215" t="s">
        <v>80</v>
      </c>
      <c r="AV3" s="216"/>
      <c r="AW3" s="217"/>
      <c r="AX3" s="211"/>
      <c r="AY3" s="211"/>
      <c r="AZ3" s="211"/>
      <c r="BA3" s="211"/>
      <c r="BB3" s="211"/>
    </row>
    <row r="4" spans="19:54" ht="34.5" customHeight="1" thickBot="1">
      <c r="S4" s="225" t="s">
        <v>8</v>
      </c>
      <c r="T4" s="226"/>
      <c r="U4" s="226"/>
      <c r="V4" s="226"/>
      <c r="W4" s="226"/>
      <c r="X4" s="227"/>
      <c r="Y4" s="227"/>
      <c r="Z4" s="228"/>
      <c r="AA4" s="229" t="s">
        <v>9</v>
      </c>
      <c r="AB4" s="230"/>
      <c r="AC4" s="231" t="s">
        <v>10</v>
      </c>
      <c r="AD4" s="232"/>
      <c r="AE4" s="233" t="s">
        <v>11</v>
      </c>
      <c r="AF4" s="234"/>
      <c r="AG4" s="234"/>
      <c r="AH4" s="234"/>
      <c r="AI4" s="234"/>
      <c r="AJ4" s="235"/>
      <c r="AK4" s="7"/>
      <c r="AL4" s="236" t="s">
        <v>12</v>
      </c>
      <c r="AM4" s="237"/>
      <c r="AN4" s="237"/>
      <c r="AO4" s="237"/>
      <c r="AP4" s="237"/>
      <c r="AQ4" s="237"/>
      <c r="AR4" s="8"/>
      <c r="AS4" s="238" t="s">
        <v>13</v>
      </c>
      <c r="AT4" s="239"/>
      <c r="AU4" s="239"/>
      <c r="AV4" s="239"/>
      <c r="AW4" s="240"/>
      <c r="AX4" s="218" t="s">
        <v>14</v>
      </c>
      <c r="AY4" s="219"/>
      <c r="AZ4" s="219"/>
      <c r="BA4" s="219"/>
      <c r="BB4" s="220"/>
    </row>
    <row r="5" spans="19:54" ht="52.5" customHeight="1">
      <c r="S5" s="246" t="s">
        <v>15</v>
      </c>
      <c r="T5" s="248" t="s">
        <v>16</v>
      </c>
      <c r="U5" s="248" t="s">
        <v>17</v>
      </c>
      <c r="V5" s="248" t="s">
        <v>18</v>
      </c>
      <c r="W5" s="248" t="s">
        <v>19</v>
      </c>
      <c r="X5" s="248" t="s">
        <v>20</v>
      </c>
      <c r="Y5" s="248" t="s">
        <v>21</v>
      </c>
      <c r="Z5" s="250" t="s">
        <v>22</v>
      </c>
      <c r="AA5" s="252" t="s">
        <v>23</v>
      </c>
      <c r="AB5" s="270" t="s">
        <v>9</v>
      </c>
      <c r="AC5" s="272" t="s">
        <v>24</v>
      </c>
      <c r="AD5" s="272" t="s">
        <v>25</v>
      </c>
      <c r="AE5" s="274" t="s">
        <v>26</v>
      </c>
      <c r="AF5" s="209" t="s">
        <v>27</v>
      </c>
      <c r="AG5" s="209" t="s">
        <v>28</v>
      </c>
      <c r="AH5" s="263" t="s">
        <v>29</v>
      </c>
      <c r="AI5" s="263" t="s">
        <v>30</v>
      </c>
      <c r="AJ5" s="265" t="s">
        <v>31</v>
      </c>
      <c r="AK5" s="267" t="s">
        <v>32</v>
      </c>
      <c r="AL5" s="268"/>
      <c r="AM5" s="268"/>
      <c r="AN5" s="268"/>
      <c r="AO5" s="268"/>
      <c r="AP5" s="268"/>
      <c r="AQ5" s="268"/>
      <c r="AR5" s="269"/>
      <c r="AS5" s="259" t="s">
        <v>33</v>
      </c>
      <c r="AT5" s="259" t="s">
        <v>34</v>
      </c>
      <c r="AU5" s="259" t="s">
        <v>35</v>
      </c>
      <c r="AV5" s="259" t="s">
        <v>66</v>
      </c>
      <c r="AW5" s="261" t="s">
        <v>36</v>
      </c>
      <c r="AX5" s="252" t="s">
        <v>37</v>
      </c>
      <c r="AY5" s="221" t="s">
        <v>38</v>
      </c>
      <c r="AZ5" s="221" t="s">
        <v>39</v>
      </c>
      <c r="BA5" s="221" t="s">
        <v>40</v>
      </c>
      <c r="BB5" s="223" t="s">
        <v>41</v>
      </c>
    </row>
    <row r="6" spans="19:54" ht="27.95" customHeight="1" thickBot="1">
      <c r="S6" s="247"/>
      <c r="T6" s="249"/>
      <c r="U6" s="249"/>
      <c r="V6" s="249"/>
      <c r="W6" s="249"/>
      <c r="X6" s="249"/>
      <c r="Y6" s="249"/>
      <c r="Z6" s="251"/>
      <c r="AA6" s="253"/>
      <c r="AB6" s="271"/>
      <c r="AC6" s="273"/>
      <c r="AD6" s="273"/>
      <c r="AE6" s="275"/>
      <c r="AF6" s="210"/>
      <c r="AG6" s="210"/>
      <c r="AH6" s="264"/>
      <c r="AI6" s="264"/>
      <c r="AJ6" s="266"/>
      <c r="AK6" s="9">
        <v>1</v>
      </c>
      <c r="AL6" s="10">
        <v>2</v>
      </c>
      <c r="AM6" s="10">
        <v>3</v>
      </c>
      <c r="AN6" s="10">
        <v>4</v>
      </c>
      <c r="AO6" s="10">
        <v>5</v>
      </c>
      <c r="AP6" s="10">
        <v>6</v>
      </c>
      <c r="AQ6" s="10">
        <v>12</v>
      </c>
      <c r="AR6" s="11"/>
      <c r="AS6" s="260"/>
      <c r="AT6" s="260"/>
      <c r="AU6" s="260"/>
      <c r="AV6" s="260"/>
      <c r="AW6" s="262"/>
      <c r="AX6" s="253"/>
      <c r="AY6" s="222"/>
      <c r="AZ6" s="222"/>
      <c r="BA6" s="222"/>
      <c r="BB6" s="224"/>
    </row>
    <row r="7" spans="19:54" s="34" customFormat="1" ht="48" customHeight="1" thickBot="1">
      <c r="S7" s="12">
        <v>1</v>
      </c>
      <c r="T7" s="241" t="s">
        <v>1</v>
      </c>
      <c r="U7" s="13"/>
      <c r="V7" s="14"/>
      <c r="W7" s="15"/>
      <c r="X7" s="16"/>
      <c r="Y7" s="17"/>
      <c r="Z7" s="18">
        <f t="shared" ref="Z7:Z15" si="0">IF(Y7&lt;X7,1+Y7-X7,Y7-X7)</f>
        <v>0</v>
      </c>
      <c r="AA7" s="19"/>
      <c r="AB7" s="20"/>
      <c r="AC7" s="21"/>
      <c r="AD7" s="100"/>
      <c r="AE7" s="22"/>
      <c r="AF7" s="23"/>
      <c r="AG7" s="23"/>
      <c r="AH7" s="23"/>
      <c r="AI7" s="23"/>
      <c r="AJ7" s="24"/>
      <c r="AK7" s="25"/>
      <c r="AL7" s="26"/>
      <c r="AM7" s="26"/>
      <c r="AN7" s="26"/>
      <c r="AO7" s="26"/>
      <c r="AP7" s="26"/>
      <c r="AQ7" s="26"/>
      <c r="AR7" s="27"/>
      <c r="AS7" s="28"/>
      <c r="AT7" s="13"/>
      <c r="AU7" s="13"/>
      <c r="AV7" s="13"/>
      <c r="AW7" s="29"/>
      <c r="AX7" s="30">
        <f t="shared" ref="AX7:AX15" si="1">SUM(AY7:BB7)</f>
        <v>0</v>
      </c>
      <c r="AY7" s="31">
        <v>0</v>
      </c>
      <c r="AZ7" s="32">
        <v>0</v>
      </c>
      <c r="BA7" s="31">
        <v>0</v>
      </c>
      <c r="BB7" s="33">
        <f t="shared" ref="BB7:BB15" si="2">SUM(($AQ$6*AQ7+$AP$6*AP7+$AN$6*AN7+$AM$6*$AM7+$AL$6*AL7+$AK$6*AK7+$AO$6*AO7+$AR$6*AR7)*175)</f>
        <v>0</v>
      </c>
    </row>
    <row r="8" spans="19:54" s="34" customFormat="1" ht="48" customHeight="1" thickBot="1">
      <c r="S8" s="12">
        <v>2</v>
      </c>
      <c r="T8" s="242"/>
      <c r="U8" s="35"/>
      <c r="V8" s="142"/>
      <c r="W8" s="142"/>
      <c r="X8" s="36"/>
      <c r="Y8" s="36"/>
      <c r="Z8" s="37">
        <f t="shared" si="0"/>
        <v>0</v>
      </c>
      <c r="AA8" s="38"/>
      <c r="AB8" s="39"/>
      <c r="AC8" s="40"/>
      <c r="AD8" s="101"/>
      <c r="AE8" s="41"/>
      <c r="AF8" s="42"/>
      <c r="AG8" s="42"/>
      <c r="AH8" s="42"/>
      <c r="AI8" s="42"/>
      <c r="AJ8" s="43"/>
      <c r="AK8" s="44"/>
      <c r="AL8" s="45"/>
      <c r="AM8" s="45"/>
      <c r="AN8" s="45"/>
      <c r="AO8" s="45"/>
      <c r="AP8" s="45"/>
      <c r="AQ8" s="45"/>
      <c r="AR8" s="46"/>
      <c r="AS8" s="47"/>
      <c r="AT8" s="35"/>
      <c r="AU8" s="35"/>
      <c r="AV8" s="35"/>
      <c r="AW8" s="48"/>
      <c r="AX8" s="49">
        <f t="shared" si="1"/>
        <v>0</v>
      </c>
      <c r="AY8" s="50">
        <v>0</v>
      </c>
      <c r="AZ8" s="51">
        <v>0</v>
      </c>
      <c r="BA8" s="52">
        <v>0</v>
      </c>
      <c r="BB8" s="53">
        <f t="shared" si="2"/>
        <v>0</v>
      </c>
    </row>
    <row r="9" spans="19:54" s="34" customFormat="1" ht="48" customHeight="1" thickBot="1">
      <c r="S9" s="12">
        <v>3</v>
      </c>
      <c r="T9" s="242"/>
      <c r="U9" s="35"/>
      <c r="V9" s="142"/>
      <c r="W9" s="142"/>
      <c r="X9" s="36"/>
      <c r="Y9" s="36"/>
      <c r="Z9" s="37">
        <f t="shared" si="0"/>
        <v>0</v>
      </c>
      <c r="AA9" s="38"/>
      <c r="AB9" s="39"/>
      <c r="AC9" s="40"/>
      <c r="AD9" s="101"/>
      <c r="AE9" s="41"/>
      <c r="AF9" s="42"/>
      <c r="AG9" s="42"/>
      <c r="AH9" s="42"/>
      <c r="AI9" s="42"/>
      <c r="AJ9" s="43"/>
      <c r="AK9" s="44"/>
      <c r="AL9" s="45"/>
      <c r="AM9" s="45"/>
      <c r="AN9" s="45"/>
      <c r="AO9" s="45"/>
      <c r="AP9" s="45"/>
      <c r="AQ9" s="45"/>
      <c r="AR9" s="46"/>
      <c r="AS9" s="47"/>
      <c r="AT9" s="35"/>
      <c r="AU9" s="35"/>
      <c r="AV9" s="35"/>
      <c r="AW9" s="48"/>
      <c r="AX9" s="49">
        <f t="shared" si="1"/>
        <v>0</v>
      </c>
      <c r="AY9" s="51">
        <v>0</v>
      </c>
      <c r="AZ9" s="52">
        <v>0</v>
      </c>
      <c r="BA9" s="51">
        <v>0</v>
      </c>
      <c r="BB9" s="53">
        <f t="shared" si="2"/>
        <v>0</v>
      </c>
    </row>
    <row r="10" spans="19:54" s="34" customFormat="1" ht="48" customHeight="1" thickBot="1">
      <c r="S10" s="12">
        <v>4</v>
      </c>
      <c r="T10" s="243" t="s">
        <v>5</v>
      </c>
      <c r="U10" s="35"/>
      <c r="V10" s="142"/>
      <c r="W10" s="142"/>
      <c r="X10" s="36"/>
      <c r="Y10" s="36"/>
      <c r="Z10" s="37">
        <f t="shared" si="0"/>
        <v>0</v>
      </c>
      <c r="AA10" s="38"/>
      <c r="AB10" s="39"/>
      <c r="AC10" s="40"/>
      <c r="AD10" s="101"/>
      <c r="AE10" s="41"/>
      <c r="AF10" s="42"/>
      <c r="AG10" s="42"/>
      <c r="AH10" s="42"/>
      <c r="AI10" s="42"/>
      <c r="AJ10" s="43"/>
      <c r="AK10" s="44"/>
      <c r="AL10" s="45"/>
      <c r="AM10" s="45"/>
      <c r="AN10" s="45"/>
      <c r="AO10" s="45"/>
      <c r="AP10" s="45"/>
      <c r="AQ10" s="45"/>
      <c r="AR10" s="46"/>
      <c r="AS10" s="47"/>
      <c r="AT10" s="35"/>
      <c r="AU10" s="35"/>
      <c r="AV10" s="35"/>
      <c r="AW10" s="48"/>
      <c r="AX10" s="49">
        <f t="shared" si="1"/>
        <v>0</v>
      </c>
      <c r="AY10" s="51">
        <v>0</v>
      </c>
      <c r="AZ10" s="52">
        <v>0</v>
      </c>
      <c r="BA10" s="51">
        <v>0</v>
      </c>
      <c r="BB10" s="53">
        <f t="shared" si="2"/>
        <v>0</v>
      </c>
    </row>
    <row r="11" spans="19:54" s="34" customFormat="1" ht="48" customHeight="1" thickBot="1">
      <c r="S11" s="12">
        <v>5</v>
      </c>
      <c r="T11" s="243"/>
      <c r="U11" s="35"/>
      <c r="V11" s="142"/>
      <c r="W11" s="142"/>
      <c r="X11" s="36"/>
      <c r="Y11" s="120"/>
      <c r="Z11" s="37">
        <f t="shared" si="0"/>
        <v>0</v>
      </c>
      <c r="AA11" s="38"/>
      <c r="AB11" s="39"/>
      <c r="AC11" s="40"/>
      <c r="AD11" s="101"/>
      <c r="AE11" s="41"/>
      <c r="AF11" s="42"/>
      <c r="AG11" s="42"/>
      <c r="AH11" s="42"/>
      <c r="AI11" s="42"/>
      <c r="AJ11" s="43"/>
      <c r="AK11" s="44"/>
      <c r="AL11" s="45"/>
      <c r="AM11" s="45"/>
      <c r="AN11" s="45"/>
      <c r="AO11" s="45"/>
      <c r="AP11" s="45"/>
      <c r="AQ11" s="45"/>
      <c r="AR11" s="46"/>
      <c r="AS11" s="47"/>
      <c r="AT11" s="35"/>
      <c r="AU11" s="35"/>
      <c r="AV11" s="35"/>
      <c r="AW11" s="48"/>
      <c r="AX11" s="49">
        <f t="shared" si="1"/>
        <v>0</v>
      </c>
      <c r="AY11" s="50">
        <v>0</v>
      </c>
      <c r="AZ11" s="51">
        <v>0</v>
      </c>
      <c r="BA11" s="52">
        <v>0</v>
      </c>
      <c r="BB11" s="53">
        <f t="shared" si="2"/>
        <v>0</v>
      </c>
    </row>
    <row r="12" spans="19:54" s="34" customFormat="1" ht="48" customHeight="1" thickBot="1">
      <c r="S12" s="12">
        <v>10</v>
      </c>
      <c r="T12" s="243"/>
      <c r="U12" s="13"/>
      <c r="V12" s="14"/>
      <c r="W12" s="14"/>
      <c r="X12" s="54"/>
      <c r="Y12" s="54"/>
      <c r="Z12" s="55">
        <f t="shared" si="0"/>
        <v>0</v>
      </c>
      <c r="AA12" s="19"/>
      <c r="AB12" s="20"/>
      <c r="AC12" s="21"/>
      <c r="AD12" s="100"/>
      <c r="AE12" s="22"/>
      <c r="AF12" s="23"/>
      <c r="AG12" s="23"/>
      <c r="AH12" s="23"/>
      <c r="AI12" s="23"/>
      <c r="AJ12" s="24"/>
      <c r="AK12" s="25"/>
      <c r="AL12" s="26"/>
      <c r="AM12" s="26"/>
      <c r="AN12" s="26"/>
      <c r="AO12" s="26"/>
      <c r="AP12" s="26"/>
      <c r="AQ12" s="26"/>
      <c r="AR12" s="27"/>
      <c r="AS12" s="28"/>
      <c r="AT12" s="13"/>
      <c r="AU12" s="13"/>
      <c r="AV12" s="13"/>
      <c r="AW12" s="29"/>
      <c r="AX12" s="30">
        <f t="shared" si="1"/>
        <v>0</v>
      </c>
      <c r="AY12" s="31">
        <v>0</v>
      </c>
      <c r="AZ12" s="32">
        <v>0</v>
      </c>
      <c r="BA12" s="31">
        <v>0</v>
      </c>
      <c r="BB12" s="56">
        <f t="shared" si="2"/>
        <v>0</v>
      </c>
    </row>
    <row r="13" spans="19:54" s="34" customFormat="1" ht="48" customHeight="1" thickBot="1">
      <c r="S13" s="12">
        <v>11</v>
      </c>
      <c r="T13" s="244" t="s">
        <v>65</v>
      </c>
      <c r="U13" s="35"/>
      <c r="V13" s="142"/>
      <c r="W13" s="142"/>
      <c r="X13" s="36"/>
      <c r="Y13" s="36"/>
      <c r="Z13" s="37">
        <f t="shared" si="0"/>
        <v>0</v>
      </c>
      <c r="AA13" s="38"/>
      <c r="AB13" s="39"/>
      <c r="AC13" s="40"/>
      <c r="AD13" s="101"/>
      <c r="AE13" s="41"/>
      <c r="AF13" s="42"/>
      <c r="AG13" s="42"/>
      <c r="AH13" s="42"/>
      <c r="AI13" s="42"/>
      <c r="AJ13" s="43"/>
      <c r="AK13" s="44"/>
      <c r="AL13" s="45"/>
      <c r="AM13" s="45"/>
      <c r="AN13" s="45"/>
      <c r="AO13" s="45"/>
      <c r="AP13" s="45"/>
      <c r="AQ13" s="45"/>
      <c r="AR13" s="46"/>
      <c r="AS13" s="47"/>
      <c r="AT13" s="35"/>
      <c r="AU13" s="35"/>
      <c r="AV13" s="35"/>
      <c r="AW13" s="48"/>
      <c r="AX13" s="49">
        <f t="shared" si="1"/>
        <v>0</v>
      </c>
      <c r="AY13" s="50">
        <v>0</v>
      </c>
      <c r="AZ13" s="51">
        <v>0</v>
      </c>
      <c r="BA13" s="52">
        <v>0</v>
      </c>
      <c r="BB13" s="57">
        <f t="shared" si="2"/>
        <v>0</v>
      </c>
    </row>
    <row r="14" spans="19:54" s="34" customFormat="1" ht="48" customHeight="1" thickBot="1">
      <c r="S14" s="12">
        <v>12</v>
      </c>
      <c r="T14" s="244"/>
      <c r="U14" s="35"/>
      <c r="V14" s="142"/>
      <c r="W14" s="142"/>
      <c r="X14" s="36"/>
      <c r="Y14" s="36"/>
      <c r="Z14" s="37">
        <f t="shared" si="0"/>
        <v>0</v>
      </c>
      <c r="AA14" s="38"/>
      <c r="AB14" s="39"/>
      <c r="AC14" s="40"/>
      <c r="AD14" s="101"/>
      <c r="AE14" s="41"/>
      <c r="AF14" s="42"/>
      <c r="AG14" s="42"/>
      <c r="AH14" s="42"/>
      <c r="AI14" s="42"/>
      <c r="AJ14" s="43"/>
      <c r="AK14" s="44"/>
      <c r="AL14" s="45"/>
      <c r="AM14" s="45"/>
      <c r="AN14" s="45"/>
      <c r="AO14" s="45"/>
      <c r="AP14" s="45"/>
      <c r="AQ14" s="45"/>
      <c r="AR14" s="46"/>
      <c r="AS14" s="47"/>
      <c r="AT14" s="35"/>
      <c r="AU14" s="35"/>
      <c r="AV14" s="35"/>
      <c r="AW14" s="48"/>
      <c r="AX14" s="49">
        <f t="shared" si="1"/>
        <v>0</v>
      </c>
      <c r="AY14" s="51">
        <v>0</v>
      </c>
      <c r="AZ14" s="52">
        <v>0</v>
      </c>
      <c r="BA14" s="51">
        <v>0</v>
      </c>
      <c r="BB14" s="57">
        <f t="shared" si="2"/>
        <v>0</v>
      </c>
    </row>
    <row r="15" spans="19:54" s="34" customFormat="1" ht="48" customHeight="1" thickBot="1">
      <c r="S15" s="12">
        <v>13</v>
      </c>
      <c r="T15" s="245"/>
      <c r="U15" s="58"/>
      <c r="V15" s="59"/>
      <c r="W15" s="59"/>
      <c r="X15" s="60"/>
      <c r="Y15" s="60"/>
      <c r="Z15" s="61">
        <f t="shared" si="0"/>
        <v>0</v>
      </c>
      <c r="AA15" s="62"/>
      <c r="AB15" s="63"/>
      <c r="AC15" s="64"/>
      <c r="AD15" s="102"/>
      <c r="AE15" s="65"/>
      <c r="AF15" s="66"/>
      <c r="AG15" s="67"/>
      <c r="AH15" s="67"/>
      <c r="AI15" s="67"/>
      <c r="AJ15" s="66"/>
      <c r="AK15" s="68"/>
      <c r="AL15" s="69"/>
      <c r="AM15" s="69"/>
      <c r="AN15" s="69"/>
      <c r="AO15" s="69"/>
      <c r="AP15" s="69"/>
      <c r="AQ15" s="69"/>
      <c r="AR15" s="70"/>
      <c r="AS15" s="71"/>
      <c r="AT15" s="35"/>
      <c r="AU15" s="35"/>
      <c r="AV15" s="35"/>
      <c r="AW15" s="48"/>
      <c r="AX15" s="49">
        <f t="shared" si="1"/>
        <v>0</v>
      </c>
      <c r="AY15" s="50">
        <v>0</v>
      </c>
      <c r="AZ15" s="51">
        <v>0</v>
      </c>
      <c r="BA15" s="52">
        <v>0</v>
      </c>
      <c r="BB15" s="57">
        <f t="shared" si="2"/>
        <v>0</v>
      </c>
    </row>
    <row r="16" spans="19:54" s="72" customFormat="1" ht="50.1" customHeight="1">
      <c r="S16" s="254" t="s">
        <v>42</v>
      </c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5" t="s">
        <v>53</v>
      </c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6" t="s">
        <v>43</v>
      </c>
      <c r="AU16" s="257"/>
      <c r="AV16" s="257"/>
      <c r="AW16" s="257"/>
      <c r="AX16" s="257"/>
      <c r="AY16" s="257"/>
      <c r="AZ16" s="257"/>
      <c r="BA16" s="257"/>
      <c r="BB16" s="258"/>
    </row>
    <row r="17" spans="18:62" s="72" customFormat="1" ht="60" customHeight="1">
      <c r="S17" s="73" t="s">
        <v>15</v>
      </c>
      <c r="T17" s="300" t="s">
        <v>44</v>
      </c>
      <c r="U17" s="301"/>
      <c r="V17" s="302" t="s">
        <v>45</v>
      </c>
      <c r="W17" s="303"/>
      <c r="X17" s="74" t="s">
        <v>46</v>
      </c>
      <c r="Y17" s="75" t="s">
        <v>67</v>
      </c>
      <c r="Z17" s="304" t="s">
        <v>47</v>
      </c>
      <c r="AA17" s="304"/>
      <c r="AB17" s="304"/>
      <c r="AC17" s="304"/>
      <c r="AD17" s="304"/>
      <c r="AE17" s="304"/>
      <c r="AF17" s="304"/>
      <c r="AG17" s="305" t="s">
        <v>48</v>
      </c>
      <c r="AH17" s="306"/>
      <c r="AI17" s="307" t="s">
        <v>49</v>
      </c>
      <c r="AJ17" s="307"/>
      <c r="AK17" s="92"/>
      <c r="AL17" s="308" t="s">
        <v>68</v>
      </c>
      <c r="AM17" s="309"/>
      <c r="AN17" s="310"/>
      <c r="AO17" s="288" t="s">
        <v>50</v>
      </c>
      <c r="AP17" s="289"/>
      <c r="AQ17" s="289"/>
      <c r="AR17" s="289"/>
      <c r="AS17" s="289"/>
      <c r="AT17" s="76" t="s">
        <v>51</v>
      </c>
      <c r="AU17" s="290" t="s">
        <v>33</v>
      </c>
      <c r="AV17" s="291"/>
      <c r="AW17" s="77" t="s">
        <v>34</v>
      </c>
      <c r="AX17" s="77" t="s">
        <v>66</v>
      </c>
      <c r="AY17" s="77" t="s">
        <v>35</v>
      </c>
      <c r="AZ17" s="77" t="s">
        <v>36</v>
      </c>
      <c r="BA17" s="292" t="s">
        <v>52</v>
      </c>
      <c r="BB17" s="293"/>
    </row>
    <row r="18" spans="18:62" ht="60.75" customHeight="1">
      <c r="S18" s="78">
        <v>1</v>
      </c>
      <c r="T18" s="294"/>
      <c r="U18" s="295"/>
      <c r="V18" s="280"/>
      <c r="W18" s="281"/>
      <c r="X18" s="79" t="str">
        <f>TEXT(MOD(V18-T18,1),"h:mm")</f>
        <v>0:00</v>
      </c>
      <c r="Y18" s="80"/>
      <c r="Z18" s="282"/>
      <c r="AA18" s="282"/>
      <c r="AB18" s="282"/>
      <c r="AC18" s="282"/>
      <c r="AD18" s="282"/>
      <c r="AE18" s="282"/>
      <c r="AF18" s="282"/>
      <c r="AG18" s="296">
        <f>SUM(AX7:AX9)</f>
        <v>0</v>
      </c>
      <c r="AH18" s="297"/>
      <c r="AI18" s="298">
        <f>SUM(AX10:AX12)</f>
        <v>0</v>
      </c>
      <c r="AJ18" s="298"/>
      <c r="AK18" s="93"/>
      <c r="AL18" s="298">
        <f>SUM(AX13:AX15)</f>
        <v>0</v>
      </c>
      <c r="AM18" s="298"/>
      <c r="AN18" s="298"/>
      <c r="AO18" s="299">
        <f>SUM(AG18:AN18)</f>
        <v>0</v>
      </c>
      <c r="AP18" s="299"/>
      <c r="AQ18" s="299"/>
      <c r="AR18" s="299"/>
      <c r="AS18" s="299"/>
      <c r="AT18" s="81" t="s">
        <v>1</v>
      </c>
      <c r="AU18" s="276">
        <f>SUM(AS7:AS9)</f>
        <v>0</v>
      </c>
      <c r="AV18" s="277"/>
      <c r="AW18" s="82">
        <f>SUM(AT7:AT9)</f>
        <v>0</v>
      </c>
      <c r="AX18" s="82">
        <f>SUM(AV7:AV9)</f>
        <v>0</v>
      </c>
      <c r="AY18" s="82">
        <f>SUM(AU7:AU9)</f>
        <v>0</v>
      </c>
      <c r="AZ18" s="82">
        <f>SUM(AW7:AW9)</f>
        <v>0</v>
      </c>
      <c r="BA18" s="276">
        <f>SUM(AU18:AZ18)</f>
        <v>0</v>
      </c>
      <c r="BB18" s="277"/>
    </row>
    <row r="19" spans="18:62" ht="60.75" customHeight="1">
      <c r="S19" s="78">
        <v>2</v>
      </c>
      <c r="T19" s="278"/>
      <c r="U19" s="279"/>
      <c r="V19" s="280"/>
      <c r="W19" s="281"/>
      <c r="X19" s="79" t="str">
        <f>TEXT(MOD(V19-T19,1),"h:mm")</f>
        <v>0:00</v>
      </c>
      <c r="Y19" s="80"/>
      <c r="Z19" s="282"/>
      <c r="AA19" s="282"/>
      <c r="AB19" s="282"/>
      <c r="AC19" s="282"/>
      <c r="AD19" s="282"/>
      <c r="AE19" s="282"/>
      <c r="AF19" s="282"/>
      <c r="AG19" s="283" t="s">
        <v>41</v>
      </c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5"/>
      <c r="AT19" s="83" t="s">
        <v>5</v>
      </c>
      <c r="AU19" s="286">
        <f>SUM(AS10:AS12)</f>
        <v>0</v>
      </c>
      <c r="AV19" s="287"/>
      <c r="AW19" s="84">
        <f>SUM(AT10:AT12)</f>
        <v>0</v>
      </c>
      <c r="AX19" s="84">
        <f>SUM(AV10:AV12)</f>
        <v>0</v>
      </c>
      <c r="AY19" s="84">
        <f>SUM(AU10:AU12)</f>
        <v>0</v>
      </c>
      <c r="AZ19" s="84">
        <f>SUM(AW10:AW12)</f>
        <v>0</v>
      </c>
      <c r="BA19" s="286">
        <f>SUM(AU19:AZ19)</f>
        <v>0</v>
      </c>
      <c r="BB19" s="287"/>
    </row>
    <row r="20" spans="18:62" ht="60.75" customHeight="1">
      <c r="S20" s="78">
        <v>3</v>
      </c>
      <c r="T20" s="278"/>
      <c r="U20" s="279"/>
      <c r="V20" s="280"/>
      <c r="W20" s="281"/>
      <c r="X20" s="79" t="str">
        <f>TEXT(MOD(V20-T20,1),"h:mm")</f>
        <v>0:00</v>
      </c>
      <c r="Y20" s="80"/>
      <c r="Z20" s="327"/>
      <c r="AA20" s="327"/>
      <c r="AB20" s="327"/>
      <c r="AC20" s="327"/>
      <c r="AD20" s="327"/>
      <c r="AE20" s="327"/>
      <c r="AF20" s="327"/>
      <c r="AG20" s="311">
        <f>SUM(BB7:BB9)</f>
        <v>0</v>
      </c>
      <c r="AH20" s="328"/>
      <c r="AI20" s="311">
        <f>SUM(BB10:BB12)</f>
        <v>0</v>
      </c>
      <c r="AJ20" s="328"/>
      <c r="AK20" s="94"/>
      <c r="AL20" s="311">
        <f>SUM(BB13:BB15)</f>
        <v>0</v>
      </c>
      <c r="AM20" s="329"/>
      <c r="AN20" s="328"/>
      <c r="AO20" s="311">
        <f>SUM(AG20:AN20)</f>
        <v>0</v>
      </c>
      <c r="AP20" s="312"/>
      <c r="AQ20" s="312"/>
      <c r="AR20" s="312"/>
      <c r="AS20" s="313"/>
      <c r="AT20" s="91" t="s">
        <v>65</v>
      </c>
      <c r="AU20" s="314">
        <f>SUM(AS13:AS15)</f>
        <v>0</v>
      </c>
      <c r="AV20" s="315"/>
      <c r="AW20" s="99">
        <f>SUM(AT13:AT15)</f>
        <v>0</v>
      </c>
      <c r="AX20" s="99">
        <f>SUM(AV13:AV15)</f>
        <v>0</v>
      </c>
      <c r="AY20" s="99">
        <f>SUM(AU13:AU15)</f>
        <v>0</v>
      </c>
      <c r="AZ20" s="99">
        <f>SUM(AW13:AW15)</f>
        <v>0</v>
      </c>
      <c r="BA20" s="316">
        <f>SUM(AU20:AZ20)</f>
        <v>0</v>
      </c>
      <c r="BB20" s="317"/>
    </row>
    <row r="21" spans="18:62" ht="60.75" customHeight="1">
      <c r="S21" s="78">
        <v>4</v>
      </c>
      <c r="T21" s="278"/>
      <c r="U21" s="279"/>
      <c r="V21" s="280"/>
      <c r="W21" s="281"/>
      <c r="X21" s="79" t="str">
        <f>TEXT(MOD(V21-T21,1),"h:mm")</f>
        <v>0:00</v>
      </c>
      <c r="Y21" s="80"/>
      <c r="Z21" s="318"/>
      <c r="AA21" s="318"/>
      <c r="AB21" s="318"/>
      <c r="AC21" s="318"/>
      <c r="AD21" s="318"/>
      <c r="AE21" s="318"/>
      <c r="AF21" s="318"/>
      <c r="AG21" s="319" t="s">
        <v>54</v>
      </c>
      <c r="AH21" s="320"/>
      <c r="AI21" s="320"/>
      <c r="AJ21" s="320"/>
      <c r="AK21" s="320"/>
      <c r="AL21" s="320"/>
      <c r="AM21" s="320"/>
      <c r="AN21" s="320"/>
      <c r="AO21" s="320"/>
      <c r="AP21" s="320"/>
      <c r="AQ21" s="320"/>
      <c r="AR21" s="320"/>
      <c r="AS21" s="321"/>
      <c r="AT21" s="322" t="s">
        <v>55</v>
      </c>
      <c r="AU21" s="323"/>
      <c r="AV21" s="324"/>
      <c r="AW21" s="325">
        <v>1680</v>
      </c>
      <c r="AX21" s="326"/>
      <c r="AY21" s="322" t="s">
        <v>56</v>
      </c>
      <c r="AZ21" s="324"/>
      <c r="BA21" s="330">
        <v>1628</v>
      </c>
      <c r="BB21" s="331"/>
    </row>
    <row r="22" spans="18:62" ht="54" customHeight="1">
      <c r="S22" s="78">
        <v>5</v>
      </c>
      <c r="T22" s="278"/>
      <c r="U22" s="279"/>
      <c r="V22" s="280"/>
      <c r="W22" s="281"/>
      <c r="X22" s="79" t="str">
        <f>TEXT(MOD(V22-T22,1),"h:mm")</f>
        <v>0:00</v>
      </c>
      <c r="Y22" s="80"/>
      <c r="Z22" s="318"/>
      <c r="AA22" s="318"/>
      <c r="AB22" s="318"/>
      <c r="AC22" s="318"/>
      <c r="AD22" s="318"/>
      <c r="AE22" s="318"/>
      <c r="AF22" s="318"/>
      <c r="AG22" s="357">
        <f>SUM(AY7:BA9)</f>
        <v>0</v>
      </c>
      <c r="AH22" s="357"/>
      <c r="AI22" s="298">
        <f>SUM(AY10:BA12)</f>
        <v>0</v>
      </c>
      <c r="AJ22" s="298"/>
      <c r="AK22" s="95"/>
      <c r="AL22" s="358">
        <f>SUM(AY13:BA15)</f>
        <v>0</v>
      </c>
      <c r="AM22" s="358"/>
      <c r="AN22" s="359"/>
      <c r="AO22" s="360">
        <f>SUM(AG22:AN22)</f>
        <v>0</v>
      </c>
      <c r="AP22" s="361"/>
      <c r="AQ22" s="361"/>
      <c r="AR22" s="361"/>
      <c r="AS22" s="362"/>
      <c r="AT22" s="98" t="s">
        <v>69</v>
      </c>
      <c r="AU22" s="363" t="s">
        <v>48</v>
      </c>
      <c r="AV22" s="364"/>
      <c r="AW22" s="365" t="s">
        <v>49</v>
      </c>
      <c r="AX22" s="366"/>
      <c r="AY22" s="332" t="s">
        <v>68</v>
      </c>
      <c r="AZ22" s="333"/>
      <c r="BA22" s="334" t="s">
        <v>57</v>
      </c>
      <c r="BB22" s="335"/>
    </row>
    <row r="23" spans="18:62" ht="59.25" customHeight="1">
      <c r="S23" s="336" t="s">
        <v>61</v>
      </c>
      <c r="T23" s="337"/>
      <c r="U23" s="337"/>
      <c r="V23" s="337"/>
      <c r="W23" s="338"/>
      <c r="X23" s="85">
        <f>SUM(X18+X19+X20+X21+X22)</f>
        <v>0</v>
      </c>
      <c r="Y23" s="143" t="s">
        <v>62</v>
      </c>
      <c r="Z23" s="86"/>
      <c r="AA23" s="87"/>
      <c r="AB23" s="87"/>
      <c r="AC23" s="339" t="s">
        <v>63</v>
      </c>
      <c r="AD23" s="339"/>
      <c r="AE23" s="340"/>
      <c r="AF23" s="341"/>
      <c r="AG23" s="342" t="s">
        <v>22</v>
      </c>
      <c r="AH23" s="343"/>
      <c r="AI23" s="344"/>
      <c r="AJ23" s="345" t="s">
        <v>48</v>
      </c>
      <c r="AK23" s="346"/>
      <c r="AL23" s="346"/>
      <c r="AM23" s="347"/>
      <c r="AN23" s="348" t="s">
        <v>49</v>
      </c>
      <c r="AO23" s="348"/>
      <c r="AP23" s="348"/>
      <c r="AQ23" s="349" t="s">
        <v>68</v>
      </c>
      <c r="AR23" s="350"/>
      <c r="AS23" s="351"/>
      <c r="AT23" s="96" t="s">
        <v>60</v>
      </c>
      <c r="AU23" s="352">
        <f>SUM(AQ7:AQ9)</f>
        <v>0</v>
      </c>
      <c r="AV23" s="353"/>
      <c r="AW23" s="352">
        <f>SUM(AQ10:AQ12)</f>
        <v>0</v>
      </c>
      <c r="AX23" s="354"/>
      <c r="AY23" s="352">
        <f>SUM(AQ13:AQ15)</f>
        <v>0</v>
      </c>
      <c r="AZ23" s="353"/>
      <c r="BA23" s="355">
        <f>SUM(AU23:AZ23)</f>
        <v>0</v>
      </c>
      <c r="BB23" s="356"/>
    </row>
    <row r="24" spans="18:62" ht="57" customHeight="1">
      <c r="S24" s="367"/>
      <c r="T24" s="368"/>
      <c r="U24" s="368"/>
      <c r="V24" s="368"/>
      <c r="W24" s="369"/>
      <c r="X24" s="373" t="s">
        <v>73</v>
      </c>
      <c r="Y24" s="104" t="s">
        <v>70</v>
      </c>
      <c r="Z24" s="105" t="s">
        <v>71</v>
      </c>
      <c r="AA24" s="103"/>
      <c r="AB24" s="103"/>
      <c r="AC24" s="375" t="s">
        <v>72</v>
      </c>
      <c r="AD24" s="376"/>
      <c r="AE24" s="377" t="s">
        <v>57</v>
      </c>
      <c r="AF24" s="378"/>
      <c r="AG24" s="379" t="s">
        <v>58</v>
      </c>
      <c r="AH24" s="380"/>
      <c r="AI24" s="381"/>
      <c r="AJ24" s="382">
        <f>AVERAGE(Z7:Z9)</f>
        <v>0</v>
      </c>
      <c r="AK24" s="383"/>
      <c r="AL24" s="383"/>
      <c r="AM24" s="383"/>
      <c r="AN24" s="382">
        <f>AVERAGE(Z10:Z12)</f>
        <v>0</v>
      </c>
      <c r="AO24" s="383"/>
      <c r="AP24" s="383"/>
      <c r="AQ24" s="382">
        <f>AVERAGE(Z13)</f>
        <v>0</v>
      </c>
      <c r="AR24" s="383"/>
      <c r="AS24" s="383"/>
      <c r="AT24" s="97" t="s">
        <v>64</v>
      </c>
      <c r="AU24" s="387">
        <f>SUM(AL7:AP9)</f>
        <v>0</v>
      </c>
      <c r="AV24" s="388"/>
      <c r="AW24" s="387">
        <f>SUM(AL10:AP12)</f>
        <v>0</v>
      </c>
      <c r="AX24" s="388"/>
      <c r="AY24" s="387">
        <f>SUM(AL13:AP15)</f>
        <v>0</v>
      </c>
      <c r="AZ24" s="388"/>
      <c r="BA24" s="389">
        <f>SUM(AU24:AZ24)</f>
        <v>0</v>
      </c>
      <c r="BB24" s="390"/>
    </row>
    <row r="25" spans="18:62" ht="52.5" customHeight="1">
      <c r="S25" s="370"/>
      <c r="T25" s="371"/>
      <c r="U25" s="371"/>
      <c r="V25" s="371"/>
      <c r="W25" s="372"/>
      <c r="X25" s="374"/>
      <c r="Y25" s="106">
        <f>SUM(AD7:AD9)</f>
        <v>0</v>
      </c>
      <c r="Z25" s="106">
        <f>SUM(AD10:AD12)</f>
        <v>0</v>
      </c>
      <c r="AA25" s="107"/>
      <c r="AB25" s="107"/>
      <c r="AC25" s="391">
        <f>SUM(AD13:AD15)</f>
        <v>0</v>
      </c>
      <c r="AD25" s="392"/>
      <c r="AE25" s="393">
        <f>SUM(Y25:AD25)</f>
        <v>0</v>
      </c>
      <c r="AF25" s="394"/>
      <c r="AG25" s="379" t="s">
        <v>59</v>
      </c>
      <c r="AH25" s="380"/>
      <c r="AI25" s="381"/>
      <c r="AJ25" s="382">
        <f>SUM(Z7:Z9)</f>
        <v>0</v>
      </c>
      <c r="AK25" s="383"/>
      <c r="AL25" s="383"/>
      <c r="AM25" s="383"/>
      <c r="AN25" s="382">
        <f>SUM(Z10:Z12)</f>
        <v>0</v>
      </c>
      <c r="AO25" s="383"/>
      <c r="AP25" s="383"/>
      <c r="AQ25" s="382">
        <f>SUM(Z13:Z15)</f>
        <v>0</v>
      </c>
      <c r="AR25" s="383"/>
      <c r="AS25" s="383"/>
      <c r="AT25" s="384"/>
      <c r="AU25" s="385"/>
      <c r="AV25" s="385"/>
      <c r="AW25" s="385"/>
      <c r="AX25" s="385"/>
      <c r="AY25" s="385"/>
      <c r="AZ25" s="385"/>
      <c r="BA25" s="385"/>
      <c r="BB25" s="386"/>
    </row>
    <row r="26" spans="18:62" ht="60.75" customHeight="1"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8:62" ht="30" customHeight="1"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8:62" ht="30" customHeight="1"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T28" s="4"/>
      <c r="AU28" s="4"/>
      <c r="AV28" s="4"/>
      <c r="AW28" s="4"/>
      <c r="AX28" s="4"/>
      <c r="AY28" s="4"/>
      <c r="AZ28" s="4"/>
      <c r="BA28" s="4"/>
    </row>
    <row r="29" spans="18:62" ht="30" customHeight="1"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T29" s="4"/>
      <c r="AU29" s="4"/>
      <c r="AV29" s="4"/>
      <c r="AW29" s="4"/>
      <c r="AX29" s="4"/>
      <c r="AY29" s="4"/>
      <c r="AZ29" s="4"/>
      <c r="BA29" s="4"/>
    </row>
    <row r="30" spans="18:62" ht="30" customHeight="1">
      <c r="R30" s="3"/>
      <c r="S30" s="3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T30" s="4"/>
      <c r="AU30" s="4"/>
      <c r="AV30" s="4"/>
      <c r="AW30" s="4"/>
      <c r="AX30" s="4"/>
      <c r="AY30" s="4"/>
      <c r="AZ30" s="4"/>
      <c r="BA30" s="4"/>
    </row>
    <row r="31" spans="18:62" ht="30" customHeight="1">
      <c r="R31" s="3"/>
      <c r="S31" s="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T31" s="4"/>
      <c r="AU31" s="4"/>
      <c r="AV31" s="4"/>
      <c r="AW31" s="4"/>
      <c r="AX31" s="4"/>
      <c r="AY31" s="4"/>
      <c r="AZ31" s="4"/>
      <c r="BA31" s="4"/>
    </row>
    <row r="32" spans="18:62" ht="15" customHeight="1">
      <c r="S32" s="3"/>
      <c r="BJ32" s="4">
        <v>8</v>
      </c>
    </row>
  </sheetData>
  <mergeCells count="145">
    <mergeCell ref="S1:W3"/>
    <mergeCell ref="X1:Y3"/>
    <mergeCell ref="AC1:AE1"/>
    <mergeCell ref="AF1:AH1"/>
    <mergeCell ref="AI1:AL1"/>
    <mergeCell ref="AM1:AP1"/>
    <mergeCell ref="AF3:AH3"/>
    <mergeCell ref="AI3:AL3"/>
    <mergeCell ref="AM3:AP3"/>
    <mergeCell ref="AQ1:AT1"/>
    <mergeCell ref="AU1:AW1"/>
    <mergeCell ref="AF5:AF6"/>
    <mergeCell ref="AG5:AG6"/>
    <mergeCell ref="AX1:BB3"/>
    <mergeCell ref="AC2:AE2"/>
    <mergeCell ref="AF2:AH2"/>
    <mergeCell ref="AI2:AL2"/>
    <mergeCell ref="AM2:AP2"/>
    <mergeCell ref="AQ2:AT2"/>
    <mergeCell ref="AU2:AW2"/>
    <mergeCell ref="AC3:AE3"/>
    <mergeCell ref="AQ3:AT3"/>
    <mergeCell ref="AU3:AW3"/>
    <mergeCell ref="AX4:BB4"/>
    <mergeCell ref="BA5:BA6"/>
    <mergeCell ref="BB5:BB6"/>
    <mergeCell ref="S4:Z4"/>
    <mergeCell ref="AA4:AB4"/>
    <mergeCell ref="AC4:AD4"/>
    <mergeCell ref="AE4:AJ4"/>
    <mergeCell ref="AL4:AQ4"/>
    <mergeCell ref="AS4:AW4"/>
    <mergeCell ref="T7:T9"/>
    <mergeCell ref="T10:T12"/>
    <mergeCell ref="T13:T15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S16:AF16"/>
    <mergeCell ref="AG16:AS16"/>
    <mergeCell ref="AT16:BB16"/>
    <mergeCell ref="AU5:AU6"/>
    <mergeCell ref="AV5:AV6"/>
    <mergeCell ref="AW5:AW6"/>
    <mergeCell ref="AX5:AX6"/>
    <mergeCell ref="AY5:AY6"/>
    <mergeCell ref="AZ5:AZ6"/>
    <mergeCell ref="AH5:AH6"/>
    <mergeCell ref="AI5:AI6"/>
    <mergeCell ref="AJ5:AJ6"/>
    <mergeCell ref="AK5:AR5"/>
    <mergeCell ref="AS5:AS6"/>
    <mergeCell ref="AT5:AT6"/>
    <mergeCell ref="AB5:AB6"/>
    <mergeCell ref="AC5:AC6"/>
    <mergeCell ref="AD5:AD6"/>
    <mergeCell ref="AE5:AE6"/>
    <mergeCell ref="AU18:AV18"/>
    <mergeCell ref="BA18:BB18"/>
    <mergeCell ref="T19:U19"/>
    <mergeCell ref="V19:W19"/>
    <mergeCell ref="Z19:AF19"/>
    <mergeCell ref="AG19:AS19"/>
    <mergeCell ref="AU19:AV19"/>
    <mergeCell ref="BA19:BB19"/>
    <mergeCell ref="AO17:AS17"/>
    <mergeCell ref="AU17:AV17"/>
    <mergeCell ref="BA17:BB17"/>
    <mergeCell ref="T18:U18"/>
    <mergeCell ref="V18:W18"/>
    <mergeCell ref="Z18:AF18"/>
    <mergeCell ref="AG18:AH18"/>
    <mergeCell ref="AI18:AJ18"/>
    <mergeCell ref="AL18:AN18"/>
    <mergeCell ref="AO18:AS18"/>
    <mergeCell ref="T17:U17"/>
    <mergeCell ref="V17:W17"/>
    <mergeCell ref="Z17:AF17"/>
    <mergeCell ref="AG17:AH17"/>
    <mergeCell ref="AI17:AJ17"/>
    <mergeCell ref="AL17:AN17"/>
    <mergeCell ref="AO20:AS20"/>
    <mergeCell ref="AU20:AV20"/>
    <mergeCell ref="BA20:BB20"/>
    <mergeCell ref="T21:U21"/>
    <mergeCell ref="V21:W21"/>
    <mergeCell ref="Z21:AF21"/>
    <mergeCell ref="AG21:AS21"/>
    <mergeCell ref="AT21:AV21"/>
    <mergeCell ref="AW21:AX21"/>
    <mergeCell ref="AY21:AZ21"/>
    <mergeCell ref="T20:U20"/>
    <mergeCell ref="V20:W20"/>
    <mergeCell ref="Z20:AF20"/>
    <mergeCell ref="AG20:AH20"/>
    <mergeCell ref="AI20:AJ20"/>
    <mergeCell ref="AL20:AN20"/>
    <mergeCell ref="BA21:BB21"/>
    <mergeCell ref="AY22:AZ22"/>
    <mergeCell ref="BA22:BB22"/>
    <mergeCell ref="S23:W23"/>
    <mergeCell ref="AC23:AD23"/>
    <mergeCell ref="AE23:AF23"/>
    <mergeCell ref="AG23:AI23"/>
    <mergeCell ref="AJ23:AM23"/>
    <mergeCell ref="AN23:AP23"/>
    <mergeCell ref="AQ23:AS23"/>
    <mergeCell ref="AU23:AV23"/>
    <mergeCell ref="AW23:AX23"/>
    <mergeCell ref="AY23:AZ23"/>
    <mergeCell ref="BA23:BB23"/>
    <mergeCell ref="T22:U22"/>
    <mergeCell ref="V22:W22"/>
    <mergeCell ref="Z22:AF22"/>
    <mergeCell ref="AG22:AH22"/>
    <mergeCell ref="AI22:AJ22"/>
    <mergeCell ref="AL22:AN22"/>
    <mergeCell ref="AO22:AS22"/>
    <mergeCell ref="AU22:AV22"/>
    <mergeCell ref="AW22:AX22"/>
    <mergeCell ref="S24:W25"/>
    <mergeCell ref="X24:X25"/>
    <mergeCell ref="AC24:AD24"/>
    <mergeCell ref="AE24:AF24"/>
    <mergeCell ref="AG24:AI24"/>
    <mergeCell ref="AJ24:AM24"/>
    <mergeCell ref="AN24:AP24"/>
    <mergeCell ref="AQ25:AS25"/>
    <mergeCell ref="AT25:BB25"/>
    <mergeCell ref="AQ24:AS24"/>
    <mergeCell ref="AU24:AV24"/>
    <mergeCell ref="AW24:AX24"/>
    <mergeCell ref="AY24:AZ24"/>
    <mergeCell ref="BA24:BB24"/>
    <mergeCell ref="AC25:AD25"/>
    <mergeCell ref="AE25:AF25"/>
    <mergeCell ref="AG25:AI25"/>
    <mergeCell ref="AJ25:AM25"/>
    <mergeCell ref="AN25:AP25"/>
  </mergeCells>
  <conditionalFormatting sqref="Z7:Z15">
    <cfRule type="cellIs" dxfId="364" priority="3" operator="greaterThan">
      <formula>0.167361111111111</formula>
    </cfRule>
    <cfRule type="cellIs" dxfId="363" priority="4" operator="greaterThan">
      <formula>0.15625</formula>
    </cfRule>
  </conditionalFormatting>
  <conditionalFormatting sqref="AA7:AJ15">
    <cfRule type="cellIs" dxfId="362" priority="11" operator="between">
      <formula>1700</formula>
      <formula>1710</formula>
    </cfRule>
    <cfRule type="cellIs" dxfId="361" priority="12" operator="between">
      <formula>1691</formula>
      <formula>1700</formula>
    </cfRule>
  </conditionalFormatting>
  <conditionalFormatting sqref="AS7:AS15">
    <cfRule type="expression" dxfId="360" priority="13">
      <formula>IF(($AS7/$AX7)*1000&gt;$AY$1,1,0)</formula>
    </cfRule>
  </conditionalFormatting>
  <conditionalFormatting sqref="AT7:AW15">
    <cfRule type="cellIs" dxfId="359" priority="5" operator="greaterThan">
      <formula>10</formula>
    </cfRule>
  </conditionalFormatting>
  <conditionalFormatting sqref="AX7:AX15">
    <cfRule type="cellIs" dxfId="358" priority="2" operator="between">
      <formula>16000</formula>
      <formula>17200</formula>
    </cfRule>
    <cfRule type="cellIs" dxfId="357" priority="6" operator="lessThan">
      <formula>15800</formula>
    </cfRule>
    <cfRule type="cellIs" dxfId="356" priority="7" operator="greaterThan">
      <formula>18000</formula>
    </cfRule>
  </conditionalFormatting>
  <conditionalFormatting sqref="AZ7:BA15">
    <cfRule type="cellIs" dxfId="355" priority="10" operator="greaterThan">
      <formula>0</formula>
    </cfRule>
  </conditionalFormatting>
  <conditionalFormatting sqref="BB7:BB15">
    <cfRule type="cellIs" dxfId="354" priority="1" operator="between">
      <formula>16000</formula>
      <formula>17200</formula>
    </cfRule>
    <cfRule type="cellIs" dxfId="353" priority="8" operator="greaterThan">
      <formula>18000</formula>
    </cfRule>
    <cfRule type="cellIs" dxfId="352" priority="9" operator="lessThan">
      <formula>15800</formula>
    </cfRule>
  </conditionalFormatting>
  <printOptions horizontalCentered="1" verticalCentered="1"/>
  <pageMargins left="0" right="0" top="0" bottom="0.21" header="0" footer="0"/>
  <pageSetup paperSize="9" scale="42" orientation="landscape" cellComments="asDisplayed" r:id="rId1"/>
  <headerFooter differentFirst="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1EC8A-70E4-4501-AE07-F5D4C63F8C57}">
  <sheetPr>
    <tabColor theme="5"/>
    <pageSetUpPr fitToPage="1"/>
  </sheetPr>
  <dimension ref="R1:BJ32"/>
  <sheetViews>
    <sheetView showGridLines="0" rightToLeft="1" topLeftCell="N1" zoomScale="55" zoomScaleNormal="55" zoomScalePageLayoutView="40" workbookViewId="0">
      <selection activeCell="AV8" sqref="AV8"/>
    </sheetView>
  </sheetViews>
  <sheetFormatPr defaultColWidth="9.140625" defaultRowHeight="15"/>
  <cols>
    <col min="1" max="18" width="9.140625" style="4"/>
    <col min="19" max="19" width="5.7109375" style="4" customWidth="1"/>
    <col min="20" max="20" width="9.5703125" style="3" customWidth="1"/>
    <col min="21" max="21" width="10.7109375" style="3" customWidth="1"/>
    <col min="22" max="22" width="9.42578125" style="88" customWidth="1"/>
    <col min="23" max="23" width="8.85546875" style="88" customWidth="1"/>
    <col min="24" max="24" width="14.42578125" style="3" customWidth="1"/>
    <col min="25" max="25" width="14.7109375" style="3" customWidth="1"/>
    <col min="26" max="26" width="15.140625" style="88" customWidth="1"/>
    <col min="27" max="27" width="9.5703125" style="3" hidden="1" customWidth="1"/>
    <col min="28" max="28" width="10" style="3" hidden="1" customWidth="1"/>
    <col min="29" max="29" width="8.140625" style="3" customWidth="1"/>
    <col min="30" max="30" width="8.5703125" style="3" customWidth="1"/>
    <col min="31" max="31" width="12.42578125" style="3" customWidth="1"/>
    <col min="32" max="32" width="10.5703125" style="3" customWidth="1"/>
    <col min="33" max="33" width="9.5703125" style="3" customWidth="1"/>
    <col min="34" max="34" width="11.42578125" style="3" customWidth="1"/>
    <col min="35" max="35" width="9.42578125" style="3" customWidth="1"/>
    <col min="36" max="36" width="9.28515625" style="3" customWidth="1"/>
    <col min="37" max="37" width="6.7109375" style="3" hidden="1" customWidth="1"/>
    <col min="38" max="42" width="6.7109375" style="3" customWidth="1"/>
    <col min="43" max="43" width="8.140625" style="3" customWidth="1"/>
    <col min="44" max="44" width="6.7109375" style="3" hidden="1" customWidth="1"/>
    <col min="45" max="45" width="10.42578125" style="3" customWidth="1"/>
    <col min="46" max="46" width="8.7109375" style="3" customWidth="1"/>
    <col min="47" max="47" width="8.5703125" style="3" customWidth="1"/>
    <col min="48" max="48" width="8.7109375" style="3" customWidth="1"/>
    <col min="49" max="49" width="9.5703125" style="3" customWidth="1"/>
    <col min="50" max="50" width="12.42578125" style="88" customWidth="1"/>
    <col min="51" max="51" width="11.85546875" style="3" customWidth="1"/>
    <col min="52" max="52" width="11.5703125" style="3" customWidth="1"/>
    <col min="53" max="53" width="13.42578125" style="3" customWidth="1"/>
    <col min="54" max="54" width="13.5703125" style="4" customWidth="1"/>
    <col min="55" max="57" width="9.140625" style="4"/>
    <col min="58" max="58" width="25" style="4" customWidth="1"/>
    <col min="59" max="61" width="9.140625" style="4"/>
    <col min="62" max="62" width="23.5703125" style="4" customWidth="1"/>
    <col min="63" max="16384" width="9.140625" style="4"/>
  </cols>
  <sheetData>
    <row r="1" spans="19:54" ht="36.75" customHeight="1" thickBot="1">
      <c r="S1" s="180"/>
      <c r="T1" s="181"/>
      <c r="U1" s="181"/>
      <c r="V1" s="181"/>
      <c r="W1" s="181"/>
      <c r="X1" s="182" t="s">
        <v>0</v>
      </c>
      <c r="Y1" s="183"/>
      <c r="Z1" s="1" t="s">
        <v>1</v>
      </c>
      <c r="AA1" s="2"/>
      <c r="AC1" s="188" t="s">
        <v>2</v>
      </c>
      <c r="AD1" s="189"/>
      <c r="AE1" s="189"/>
      <c r="AF1" s="190" t="s">
        <v>75</v>
      </c>
      <c r="AG1" s="191"/>
      <c r="AH1" s="192"/>
      <c r="AI1" s="193" t="s">
        <v>3</v>
      </c>
      <c r="AJ1" s="194"/>
      <c r="AK1" s="194"/>
      <c r="AL1" s="195"/>
      <c r="AM1" s="196" t="s">
        <v>76</v>
      </c>
      <c r="AN1" s="197"/>
      <c r="AO1" s="197"/>
      <c r="AP1" s="198"/>
      <c r="AQ1" s="203" t="s">
        <v>4</v>
      </c>
      <c r="AR1" s="204"/>
      <c r="AS1" s="204"/>
      <c r="AT1" s="205"/>
      <c r="AU1" s="206" t="s">
        <v>74</v>
      </c>
      <c r="AV1" s="207"/>
      <c r="AW1" s="208"/>
      <c r="AX1" s="211" t="s">
        <v>119</v>
      </c>
      <c r="AY1" s="211"/>
      <c r="AZ1" s="211"/>
      <c r="BA1" s="211"/>
      <c r="BB1" s="211"/>
    </row>
    <row r="2" spans="19:54" ht="36.75" customHeight="1" thickBot="1">
      <c r="S2" s="180"/>
      <c r="T2" s="181"/>
      <c r="U2" s="181"/>
      <c r="V2" s="181"/>
      <c r="W2" s="181"/>
      <c r="X2" s="184"/>
      <c r="Y2" s="185"/>
      <c r="Z2" s="5" t="s">
        <v>5</v>
      </c>
      <c r="AA2" s="89"/>
      <c r="AC2" s="188" t="s">
        <v>2</v>
      </c>
      <c r="AD2" s="189"/>
      <c r="AE2" s="212"/>
      <c r="AF2" s="190" t="s">
        <v>78</v>
      </c>
      <c r="AG2" s="191"/>
      <c r="AH2" s="192"/>
      <c r="AI2" s="193" t="s">
        <v>3</v>
      </c>
      <c r="AJ2" s="194"/>
      <c r="AK2" s="194"/>
      <c r="AL2" s="195"/>
      <c r="AM2" s="202" t="s">
        <v>79</v>
      </c>
      <c r="AN2" s="202"/>
      <c r="AO2" s="202"/>
      <c r="AP2" s="202"/>
      <c r="AQ2" s="203" t="s">
        <v>4</v>
      </c>
      <c r="AR2" s="204"/>
      <c r="AS2" s="204"/>
      <c r="AT2" s="205"/>
      <c r="AU2" s="213" t="s">
        <v>77</v>
      </c>
      <c r="AV2" s="213"/>
      <c r="AW2" s="213"/>
      <c r="AX2" s="211"/>
      <c r="AY2" s="211"/>
      <c r="AZ2" s="211"/>
      <c r="BA2" s="211"/>
      <c r="BB2" s="211"/>
    </row>
    <row r="3" spans="19:54" ht="38.25" customHeight="1" thickBot="1">
      <c r="S3" s="181"/>
      <c r="T3" s="181"/>
      <c r="U3" s="181"/>
      <c r="V3" s="181"/>
      <c r="W3" s="181"/>
      <c r="X3" s="186"/>
      <c r="Y3" s="187"/>
      <c r="Z3" s="90" t="s">
        <v>65</v>
      </c>
      <c r="AA3" s="6"/>
      <c r="AC3" s="188" t="s">
        <v>6</v>
      </c>
      <c r="AD3" s="189"/>
      <c r="AE3" s="212"/>
      <c r="AF3" s="190" t="s">
        <v>81</v>
      </c>
      <c r="AG3" s="191"/>
      <c r="AH3" s="192"/>
      <c r="AI3" s="199" t="s">
        <v>7</v>
      </c>
      <c r="AJ3" s="200"/>
      <c r="AK3" s="200"/>
      <c r="AL3" s="201"/>
      <c r="AM3" s="202" t="s">
        <v>82</v>
      </c>
      <c r="AN3" s="202"/>
      <c r="AO3" s="202"/>
      <c r="AP3" s="202"/>
      <c r="AQ3" s="203" t="s">
        <v>4</v>
      </c>
      <c r="AR3" s="204"/>
      <c r="AS3" s="204"/>
      <c r="AT3" s="214"/>
      <c r="AU3" s="215" t="s">
        <v>80</v>
      </c>
      <c r="AV3" s="216"/>
      <c r="AW3" s="217"/>
      <c r="AX3" s="211"/>
      <c r="AY3" s="211"/>
      <c r="AZ3" s="211"/>
      <c r="BA3" s="211"/>
      <c r="BB3" s="211"/>
    </row>
    <row r="4" spans="19:54" ht="34.5" customHeight="1" thickBot="1">
      <c r="S4" s="225" t="s">
        <v>8</v>
      </c>
      <c r="T4" s="226"/>
      <c r="U4" s="226"/>
      <c r="V4" s="226"/>
      <c r="W4" s="226"/>
      <c r="X4" s="227"/>
      <c r="Y4" s="227"/>
      <c r="Z4" s="228"/>
      <c r="AA4" s="229" t="s">
        <v>9</v>
      </c>
      <c r="AB4" s="230"/>
      <c r="AC4" s="231" t="s">
        <v>10</v>
      </c>
      <c r="AD4" s="232"/>
      <c r="AE4" s="233" t="s">
        <v>11</v>
      </c>
      <c r="AF4" s="234"/>
      <c r="AG4" s="234"/>
      <c r="AH4" s="234"/>
      <c r="AI4" s="234"/>
      <c r="AJ4" s="235"/>
      <c r="AK4" s="7"/>
      <c r="AL4" s="236" t="s">
        <v>12</v>
      </c>
      <c r="AM4" s="237"/>
      <c r="AN4" s="237"/>
      <c r="AO4" s="237"/>
      <c r="AP4" s="237"/>
      <c r="AQ4" s="237"/>
      <c r="AR4" s="8"/>
      <c r="AS4" s="238" t="s">
        <v>13</v>
      </c>
      <c r="AT4" s="239"/>
      <c r="AU4" s="239"/>
      <c r="AV4" s="239"/>
      <c r="AW4" s="240"/>
      <c r="AX4" s="218" t="s">
        <v>14</v>
      </c>
      <c r="AY4" s="219"/>
      <c r="AZ4" s="219"/>
      <c r="BA4" s="219"/>
      <c r="BB4" s="220"/>
    </row>
    <row r="5" spans="19:54" ht="52.5" customHeight="1">
      <c r="S5" s="246" t="s">
        <v>15</v>
      </c>
      <c r="T5" s="248" t="s">
        <v>16</v>
      </c>
      <c r="U5" s="248" t="s">
        <v>17</v>
      </c>
      <c r="V5" s="248" t="s">
        <v>18</v>
      </c>
      <c r="W5" s="248" t="s">
        <v>19</v>
      </c>
      <c r="X5" s="248" t="s">
        <v>20</v>
      </c>
      <c r="Y5" s="248" t="s">
        <v>21</v>
      </c>
      <c r="Z5" s="250" t="s">
        <v>22</v>
      </c>
      <c r="AA5" s="252" t="s">
        <v>23</v>
      </c>
      <c r="AB5" s="270" t="s">
        <v>9</v>
      </c>
      <c r="AC5" s="272" t="s">
        <v>24</v>
      </c>
      <c r="AD5" s="272" t="s">
        <v>25</v>
      </c>
      <c r="AE5" s="274" t="s">
        <v>26</v>
      </c>
      <c r="AF5" s="209" t="s">
        <v>27</v>
      </c>
      <c r="AG5" s="209" t="s">
        <v>28</v>
      </c>
      <c r="AH5" s="263" t="s">
        <v>29</v>
      </c>
      <c r="AI5" s="263" t="s">
        <v>30</v>
      </c>
      <c r="AJ5" s="265" t="s">
        <v>31</v>
      </c>
      <c r="AK5" s="267" t="s">
        <v>32</v>
      </c>
      <c r="AL5" s="268"/>
      <c r="AM5" s="268"/>
      <c r="AN5" s="268"/>
      <c r="AO5" s="268"/>
      <c r="AP5" s="268"/>
      <c r="AQ5" s="268"/>
      <c r="AR5" s="269"/>
      <c r="AS5" s="259" t="s">
        <v>33</v>
      </c>
      <c r="AT5" s="259" t="s">
        <v>34</v>
      </c>
      <c r="AU5" s="259" t="s">
        <v>35</v>
      </c>
      <c r="AV5" s="259" t="s">
        <v>66</v>
      </c>
      <c r="AW5" s="261" t="s">
        <v>36</v>
      </c>
      <c r="AX5" s="252" t="s">
        <v>37</v>
      </c>
      <c r="AY5" s="221" t="s">
        <v>38</v>
      </c>
      <c r="AZ5" s="221" t="s">
        <v>39</v>
      </c>
      <c r="BA5" s="221" t="s">
        <v>40</v>
      </c>
      <c r="BB5" s="223" t="s">
        <v>41</v>
      </c>
    </row>
    <row r="6" spans="19:54" ht="27.95" customHeight="1" thickBot="1">
      <c r="S6" s="247"/>
      <c r="T6" s="249"/>
      <c r="U6" s="249"/>
      <c r="V6" s="249"/>
      <c r="W6" s="249"/>
      <c r="X6" s="249"/>
      <c r="Y6" s="249"/>
      <c r="Z6" s="251"/>
      <c r="AA6" s="253"/>
      <c r="AB6" s="271"/>
      <c r="AC6" s="273"/>
      <c r="AD6" s="273"/>
      <c r="AE6" s="275"/>
      <c r="AF6" s="210"/>
      <c r="AG6" s="210"/>
      <c r="AH6" s="264"/>
      <c r="AI6" s="264"/>
      <c r="AJ6" s="266"/>
      <c r="AK6" s="9">
        <v>1</v>
      </c>
      <c r="AL6" s="10">
        <v>2</v>
      </c>
      <c r="AM6" s="10">
        <v>3</v>
      </c>
      <c r="AN6" s="10">
        <v>4</v>
      </c>
      <c r="AO6" s="10">
        <v>5</v>
      </c>
      <c r="AP6" s="10">
        <v>6</v>
      </c>
      <c r="AQ6" s="10">
        <v>12</v>
      </c>
      <c r="AR6" s="11"/>
      <c r="AS6" s="260"/>
      <c r="AT6" s="260"/>
      <c r="AU6" s="260"/>
      <c r="AV6" s="260"/>
      <c r="AW6" s="262"/>
      <c r="AX6" s="253"/>
      <c r="AY6" s="222"/>
      <c r="AZ6" s="222"/>
      <c r="BA6" s="222"/>
      <c r="BB6" s="224"/>
    </row>
    <row r="7" spans="19:54" s="34" customFormat="1" ht="48" customHeight="1" thickBot="1">
      <c r="S7" s="12">
        <v>1</v>
      </c>
      <c r="T7" s="241" t="s">
        <v>1</v>
      </c>
      <c r="U7" s="13"/>
      <c r="V7" s="14"/>
      <c r="W7" s="15"/>
      <c r="X7" s="16"/>
      <c r="Y7" s="17"/>
      <c r="Z7" s="18">
        <f t="shared" ref="Z7:Z15" si="0">IF(Y7&lt;X7,1+Y7-X7,Y7-X7)</f>
        <v>0</v>
      </c>
      <c r="AA7" s="19"/>
      <c r="AB7" s="20"/>
      <c r="AC7" s="21"/>
      <c r="AD7" s="100"/>
      <c r="AE7" s="22"/>
      <c r="AF7" s="23"/>
      <c r="AG7" s="23"/>
      <c r="AH7" s="23"/>
      <c r="AI7" s="23"/>
      <c r="AJ7" s="24"/>
      <c r="AK7" s="25"/>
      <c r="AL7" s="26"/>
      <c r="AM7" s="26"/>
      <c r="AN7" s="26"/>
      <c r="AO7" s="26"/>
      <c r="AP7" s="26"/>
      <c r="AQ7" s="26"/>
      <c r="AR7" s="27"/>
      <c r="AS7" s="28"/>
      <c r="AT7" s="13"/>
      <c r="AU7" s="13"/>
      <c r="AV7" s="13"/>
      <c r="AW7" s="29"/>
      <c r="AX7" s="30">
        <f t="shared" ref="AX7:AX15" si="1">SUM(AY7:BB7)</f>
        <v>0</v>
      </c>
      <c r="AY7" s="31">
        <v>0</v>
      </c>
      <c r="AZ7" s="32">
        <v>0</v>
      </c>
      <c r="BA7" s="31">
        <v>0</v>
      </c>
      <c r="BB7" s="33">
        <f t="shared" ref="BB7:BB15" si="2">SUM(($AQ$6*AQ7+$AP$6*AP7+$AN$6*AN7+$AM$6*$AM7+$AL$6*AL7+$AK$6*AK7+$AO$6*AO7+$AR$6*AR7)*175)</f>
        <v>0</v>
      </c>
    </row>
    <row r="8" spans="19:54" s="34" customFormat="1" ht="48" customHeight="1" thickBot="1">
      <c r="S8" s="12">
        <v>2</v>
      </c>
      <c r="T8" s="242"/>
      <c r="U8" s="35"/>
      <c r="V8" s="142"/>
      <c r="W8" s="142"/>
      <c r="X8" s="36"/>
      <c r="Y8" s="36"/>
      <c r="Z8" s="37">
        <f t="shared" si="0"/>
        <v>0</v>
      </c>
      <c r="AA8" s="38"/>
      <c r="AB8" s="39"/>
      <c r="AC8" s="40"/>
      <c r="AD8" s="101"/>
      <c r="AE8" s="41"/>
      <c r="AF8" s="42"/>
      <c r="AG8" s="42"/>
      <c r="AH8" s="42"/>
      <c r="AI8" s="42"/>
      <c r="AJ8" s="43"/>
      <c r="AK8" s="44"/>
      <c r="AL8" s="45"/>
      <c r="AM8" s="45"/>
      <c r="AN8" s="45"/>
      <c r="AO8" s="45"/>
      <c r="AP8" s="45"/>
      <c r="AQ8" s="45"/>
      <c r="AR8" s="46"/>
      <c r="AS8" s="47"/>
      <c r="AT8" s="35"/>
      <c r="AU8" s="35"/>
      <c r="AV8" s="35"/>
      <c r="AW8" s="48"/>
      <c r="AX8" s="49">
        <f t="shared" si="1"/>
        <v>0</v>
      </c>
      <c r="AY8" s="50">
        <v>0</v>
      </c>
      <c r="AZ8" s="51">
        <v>0</v>
      </c>
      <c r="BA8" s="52">
        <v>0</v>
      </c>
      <c r="BB8" s="53">
        <f t="shared" si="2"/>
        <v>0</v>
      </c>
    </row>
    <row r="9" spans="19:54" s="34" customFormat="1" ht="48" customHeight="1" thickBot="1">
      <c r="S9" s="12">
        <v>3</v>
      </c>
      <c r="T9" s="242"/>
      <c r="U9" s="35"/>
      <c r="V9" s="142"/>
      <c r="W9" s="142"/>
      <c r="X9" s="36"/>
      <c r="Y9" s="36"/>
      <c r="Z9" s="37">
        <f t="shared" si="0"/>
        <v>0</v>
      </c>
      <c r="AA9" s="38"/>
      <c r="AB9" s="39"/>
      <c r="AC9" s="40"/>
      <c r="AD9" s="101"/>
      <c r="AE9" s="41"/>
      <c r="AF9" s="42"/>
      <c r="AG9" s="42"/>
      <c r="AH9" s="42"/>
      <c r="AI9" s="42"/>
      <c r="AJ9" s="43"/>
      <c r="AK9" s="44"/>
      <c r="AL9" s="45"/>
      <c r="AM9" s="45"/>
      <c r="AN9" s="45"/>
      <c r="AO9" s="45"/>
      <c r="AP9" s="45"/>
      <c r="AQ9" s="45"/>
      <c r="AR9" s="46"/>
      <c r="AS9" s="47"/>
      <c r="AT9" s="35"/>
      <c r="AU9" s="35"/>
      <c r="AV9" s="35"/>
      <c r="AW9" s="48"/>
      <c r="AX9" s="49">
        <f t="shared" si="1"/>
        <v>0</v>
      </c>
      <c r="AY9" s="51">
        <v>0</v>
      </c>
      <c r="AZ9" s="52">
        <v>0</v>
      </c>
      <c r="BA9" s="51">
        <v>0</v>
      </c>
      <c r="BB9" s="53">
        <f t="shared" si="2"/>
        <v>0</v>
      </c>
    </row>
    <row r="10" spans="19:54" s="34" customFormat="1" ht="48" customHeight="1" thickBot="1">
      <c r="S10" s="12">
        <v>4</v>
      </c>
      <c r="T10" s="243" t="s">
        <v>5</v>
      </c>
      <c r="U10" s="35"/>
      <c r="V10" s="142"/>
      <c r="W10" s="142"/>
      <c r="X10" s="36"/>
      <c r="Y10" s="36"/>
      <c r="Z10" s="37">
        <f t="shared" si="0"/>
        <v>0</v>
      </c>
      <c r="AA10" s="38"/>
      <c r="AB10" s="39"/>
      <c r="AC10" s="40"/>
      <c r="AD10" s="101"/>
      <c r="AE10" s="41"/>
      <c r="AF10" s="42"/>
      <c r="AG10" s="42"/>
      <c r="AH10" s="42"/>
      <c r="AI10" s="42"/>
      <c r="AJ10" s="43"/>
      <c r="AK10" s="44"/>
      <c r="AL10" s="45"/>
      <c r="AM10" s="45"/>
      <c r="AN10" s="45"/>
      <c r="AO10" s="45"/>
      <c r="AP10" s="45"/>
      <c r="AQ10" s="45"/>
      <c r="AR10" s="46"/>
      <c r="AS10" s="47"/>
      <c r="AT10" s="35"/>
      <c r="AU10" s="35"/>
      <c r="AV10" s="35"/>
      <c r="AW10" s="48"/>
      <c r="AX10" s="49">
        <f t="shared" si="1"/>
        <v>0</v>
      </c>
      <c r="AY10" s="51">
        <v>0</v>
      </c>
      <c r="AZ10" s="52">
        <v>0</v>
      </c>
      <c r="BA10" s="51">
        <v>0</v>
      </c>
      <c r="BB10" s="53">
        <f t="shared" si="2"/>
        <v>0</v>
      </c>
    </row>
    <row r="11" spans="19:54" s="34" customFormat="1" ht="48" customHeight="1" thickBot="1">
      <c r="S11" s="12">
        <v>5</v>
      </c>
      <c r="T11" s="243"/>
      <c r="U11" s="35"/>
      <c r="V11" s="142"/>
      <c r="W11" s="142"/>
      <c r="X11" s="36"/>
      <c r="Y11" s="120"/>
      <c r="Z11" s="37">
        <f t="shared" si="0"/>
        <v>0</v>
      </c>
      <c r="AA11" s="38"/>
      <c r="AB11" s="39"/>
      <c r="AC11" s="40"/>
      <c r="AD11" s="101"/>
      <c r="AE11" s="41"/>
      <c r="AF11" s="42"/>
      <c r="AG11" s="42"/>
      <c r="AH11" s="42"/>
      <c r="AI11" s="42"/>
      <c r="AJ11" s="43"/>
      <c r="AK11" s="44"/>
      <c r="AL11" s="45"/>
      <c r="AM11" s="45"/>
      <c r="AN11" s="45"/>
      <c r="AO11" s="45"/>
      <c r="AP11" s="45"/>
      <c r="AQ11" s="45"/>
      <c r="AR11" s="46"/>
      <c r="AS11" s="47"/>
      <c r="AT11" s="35"/>
      <c r="AU11" s="35"/>
      <c r="AV11" s="35"/>
      <c r="AW11" s="48"/>
      <c r="AX11" s="49">
        <f t="shared" si="1"/>
        <v>0</v>
      </c>
      <c r="AY11" s="50">
        <v>0</v>
      </c>
      <c r="AZ11" s="51">
        <v>0</v>
      </c>
      <c r="BA11" s="52">
        <v>0</v>
      </c>
      <c r="BB11" s="53">
        <f t="shared" si="2"/>
        <v>0</v>
      </c>
    </row>
    <row r="12" spans="19:54" s="34" customFormat="1" ht="48" customHeight="1" thickBot="1">
      <c r="S12" s="12">
        <v>10</v>
      </c>
      <c r="T12" s="243"/>
      <c r="U12" s="13"/>
      <c r="V12" s="14"/>
      <c r="W12" s="14"/>
      <c r="X12" s="54"/>
      <c r="Y12" s="54"/>
      <c r="Z12" s="55">
        <f t="shared" si="0"/>
        <v>0</v>
      </c>
      <c r="AA12" s="19"/>
      <c r="AB12" s="20"/>
      <c r="AC12" s="21"/>
      <c r="AD12" s="100"/>
      <c r="AE12" s="22"/>
      <c r="AF12" s="23"/>
      <c r="AG12" s="23"/>
      <c r="AH12" s="23"/>
      <c r="AI12" s="23"/>
      <c r="AJ12" s="24"/>
      <c r="AK12" s="25"/>
      <c r="AL12" s="26"/>
      <c r="AM12" s="26"/>
      <c r="AN12" s="26"/>
      <c r="AO12" s="26"/>
      <c r="AP12" s="26"/>
      <c r="AQ12" s="26"/>
      <c r="AR12" s="27"/>
      <c r="AS12" s="28"/>
      <c r="AT12" s="13"/>
      <c r="AU12" s="13"/>
      <c r="AV12" s="13"/>
      <c r="AW12" s="29"/>
      <c r="AX12" s="30">
        <f t="shared" si="1"/>
        <v>0</v>
      </c>
      <c r="AY12" s="31">
        <v>0</v>
      </c>
      <c r="AZ12" s="32">
        <v>0</v>
      </c>
      <c r="BA12" s="31">
        <v>0</v>
      </c>
      <c r="BB12" s="56">
        <f t="shared" si="2"/>
        <v>0</v>
      </c>
    </row>
    <row r="13" spans="19:54" s="34" customFormat="1" ht="48" customHeight="1" thickBot="1">
      <c r="S13" s="12">
        <v>11</v>
      </c>
      <c r="T13" s="244" t="s">
        <v>65</v>
      </c>
      <c r="U13" s="35"/>
      <c r="V13" s="142"/>
      <c r="W13" s="142"/>
      <c r="X13" s="36"/>
      <c r="Y13" s="36"/>
      <c r="Z13" s="37">
        <f t="shared" si="0"/>
        <v>0</v>
      </c>
      <c r="AA13" s="38"/>
      <c r="AB13" s="39"/>
      <c r="AC13" s="40"/>
      <c r="AD13" s="101"/>
      <c r="AE13" s="41"/>
      <c r="AF13" s="42"/>
      <c r="AG13" s="42"/>
      <c r="AH13" s="42"/>
      <c r="AI13" s="42"/>
      <c r="AJ13" s="43"/>
      <c r="AK13" s="44"/>
      <c r="AL13" s="45"/>
      <c r="AM13" s="45"/>
      <c r="AN13" s="45"/>
      <c r="AO13" s="45"/>
      <c r="AP13" s="45"/>
      <c r="AQ13" s="45"/>
      <c r="AR13" s="46"/>
      <c r="AS13" s="47"/>
      <c r="AT13" s="35"/>
      <c r="AU13" s="35"/>
      <c r="AV13" s="35"/>
      <c r="AW13" s="48"/>
      <c r="AX13" s="49">
        <f t="shared" si="1"/>
        <v>0</v>
      </c>
      <c r="AY13" s="50">
        <v>0</v>
      </c>
      <c r="AZ13" s="51">
        <v>0</v>
      </c>
      <c r="BA13" s="52">
        <v>0</v>
      </c>
      <c r="BB13" s="57">
        <f t="shared" si="2"/>
        <v>0</v>
      </c>
    </row>
    <row r="14" spans="19:54" s="34" customFormat="1" ht="48" customHeight="1" thickBot="1">
      <c r="S14" s="12">
        <v>12</v>
      </c>
      <c r="T14" s="244"/>
      <c r="U14" s="35"/>
      <c r="V14" s="142"/>
      <c r="W14" s="142"/>
      <c r="X14" s="36"/>
      <c r="Y14" s="36"/>
      <c r="Z14" s="37">
        <f t="shared" si="0"/>
        <v>0</v>
      </c>
      <c r="AA14" s="38"/>
      <c r="AB14" s="39"/>
      <c r="AC14" s="40"/>
      <c r="AD14" s="101"/>
      <c r="AE14" s="41"/>
      <c r="AF14" s="42"/>
      <c r="AG14" s="42"/>
      <c r="AH14" s="42"/>
      <c r="AI14" s="42"/>
      <c r="AJ14" s="43"/>
      <c r="AK14" s="44"/>
      <c r="AL14" s="45"/>
      <c r="AM14" s="45"/>
      <c r="AN14" s="45"/>
      <c r="AO14" s="45"/>
      <c r="AP14" s="45"/>
      <c r="AQ14" s="45"/>
      <c r="AR14" s="46"/>
      <c r="AS14" s="47"/>
      <c r="AT14" s="35"/>
      <c r="AU14" s="35"/>
      <c r="AV14" s="35"/>
      <c r="AW14" s="48"/>
      <c r="AX14" s="49">
        <f t="shared" si="1"/>
        <v>0</v>
      </c>
      <c r="AY14" s="51">
        <v>0</v>
      </c>
      <c r="AZ14" s="52">
        <v>0</v>
      </c>
      <c r="BA14" s="51">
        <v>0</v>
      </c>
      <c r="BB14" s="57">
        <f t="shared" si="2"/>
        <v>0</v>
      </c>
    </row>
    <row r="15" spans="19:54" s="34" customFormat="1" ht="48" customHeight="1" thickBot="1">
      <c r="S15" s="12">
        <v>13</v>
      </c>
      <c r="T15" s="245"/>
      <c r="U15" s="58"/>
      <c r="V15" s="59"/>
      <c r="W15" s="59"/>
      <c r="X15" s="60"/>
      <c r="Y15" s="60"/>
      <c r="Z15" s="61">
        <f t="shared" si="0"/>
        <v>0</v>
      </c>
      <c r="AA15" s="62"/>
      <c r="AB15" s="63"/>
      <c r="AC15" s="64"/>
      <c r="AD15" s="102"/>
      <c r="AE15" s="65"/>
      <c r="AF15" s="66"/>
      <c r="AG15" s="67"/>
      <c r="AH15" s="67"/>
      <c r="AI15" s="67"/>
      <c r="AJ15" s="66"/>
      <c r="AK15" s="68"/>
      <c r="AL15" s="69"/>
      <c r="AM15" s="69"/>
      <c r="AN15" s="69"/>
      <c r="AO15" s="69"/>
      <c r="AP15" s="69"/>
      <c r="AQ15" s="69"/>
      <c r="AR15" s="70"/>
      <c r="AS15" s="71"/>
      <c r="AT15" s="35"/>
      <c r="AU15" s="35"/>
      <c r="AV15" s="35"/>
      <c r="AW15" s="48"/>
      <c r="AX15" s="49">
        <f t="shared" si="1"/>
        <v>0</v>
      </c>
      <c r="AY15" s="50">
        <v>0</v>
      </c>
      <c r="AZ15" s="51">
        <v>0</v>
      </c>
      <c r="BA15" s="52">
        <v>0</v>
      </c>
      <c r="BB15" s="57">
        <f t="shared" si="2"/>
        <v>0</v>
      </c>
    </row>
    <row r="16" spans="19:54" s="72" customFormat="1" ht="50.1" customHeight="1">
      <c r="S16" s="254" t="s">
        <v>42</v>
      </c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5" t="s">
        <v>53</v>
      </c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6" t="s">
        <v>43</v>
      </c>
      <c r="AU16" s="257"/>
      <c r="AV16" s="257"/>
      <c r="AW16" s="257"/>
      <c r="AX16" s="257"/>
      <c r="AY16" s="257"/>
      <c r="AZ16" s="257"/>
      <c r="BA16" s="257"/>
      <c r="BB16" s="258"/>
    </row>
    <row r="17" spans="18:62" s="72" customFormat="1" ht="60" customHeight="1">
      <c r="S17" s="73" t="s">
        <v>15</v>
      </c>
      <c r="T17" s="300" t="s">
        <v>44</v>
      </c>
      <c r="U17" s="301"/>
      <c r="V17" s="302" t="s">
        <v>45</v>
      </c>
      <c r="W17" s="303"/>
      <c r="X17" s="74" t="s">
        <v>46</v>
      </c>
      <c r="Y17" s="75" t="s">
        <v>67</v>
      </c>
      <c r="Z17" s="304" t="s">
        <v>47</v>
      </c>
      <c r="AA17" s="304"/>
      <c r="AB17" s="304"/>
      <c r="AC17" s="304"/>
      <c r="AD17" s="304"/>
      <c r="AE17" s="304"/>
      <c r="AF17" s="304"/>
      <c r="AG17" s="305" t="s">
        <v>48</v>
      </c>
      <c r="AH17" s="306"/>
      <c r="AI17" s="307" t="s">
        <v>49</v>
      </c>
      <c r="AJ17" s="307"/>
      <c r="AK17" s="92"/>
      <c r="AL17" s="308" t="s">
        <v>68</v>
      </c>
      <c r="AM17" s="309"/>
      <c r="AN17" s="310"/>
      <c r="AO17" s="288" t="s">
        <v>50</v>
      </c>
      <c r="AP17" s="289"/>
      <c r="AQ17" s="289"/>
      <c r="AR17" s="289"/>
      <c r="AS17" s="289"/>
      <c r="AT17" s="76" t="s">
        <v>51</v>
      </c>
      <c r="AU17" s="290" t="s">
        <v>33</v>
      </c>
      <c r="AV17" s="291"/>
      <c r="AW17" s="77" t="s">
        <v>34</v>
      </c>
      <c r="AX17" s="77" t="s">
        <v>66</v>
      </c>
      <c r="AY17" s="77" t="s">
        <v>35</v>
      </c>
      <c r="AZ17" s="77" t="s">
        <v>36</v>
      </c>
      <c r="BA17" s="292" t="s">
        <v>52</v>
      </c>
      <c r="BB17" s="293"/>
    </row>
    <row r="18" spans="18:62" ht="60.75" customHeight="1">
      <c r="S18" s="78">
        <v>1</v>
      </c>
      <c r="T18" s="294"/>
      <c r="U18" s="295"/>
      <c r="V18" s="280"/>
      <c r="W18" s="281"/>
      <c r="X18" s="79" t="str">
        <f>TEXT(MOD(V18-T18,1),"h:mm")</f>
        <v>0:00</v>
      </c>
      <c r="Y18" s="80"/>
      <c r="Z18" s="282"/>
      <c r="AA18" s="282"/>
      <c r="AB18" s="282"/>
      <c r="AC18" s="282"/>
      <c r="AD18" s="282"/>
      <c r="AE18" s="282"/>
      <c r="AF18" s="282"/>
      <c r="AG18" s="296">
        <f>SUM(AX7:AX9)</f>
        <v>0</v>
      </c>
      <c r="AH18" s="297"/>
      <c r="AI18" s="298">
        <f>SUM(AX10:AX12)</f>
        <v>0</v>
      </c>
      <c r="AJ18" s="298"/>
      <c r="AK18" s="93"/>
      <c r="AL18" s="298">
        <f>SUM(AX13:AX15)</f>
        <v>0</v>
      </c>
      <c r="AM18" s="298"/>
      <c r="AN18" s="298"/>
      <c r="AO18" s="299">
        <f>SUM(AG18:AN18)</f>
        <v>0</v>
      </c>
      <c r="AP18" s="299"/>
      <c r="AQ18" s="299"/>
      <c r="AR18" s="299"/>
      <c r="AS18" s="299"/>
      <c r="AT18" s="81" t="s">
        <v>1</v>
      </c>
      <c r="AU18" s="276">
        <f>SUM(AS7:AS9)</f>
        <v>0</v>
      </c>
      <c r="AV18" s="277"/>
      <c r="AW18" s="82">
        <f>SUM(AT7:AT9)</f>
        <v>0</v>
      </c>
      <c r="AX18" s="82">
        <f>SUM(AV7:AV9)</f>
        <v>0</v>
      </c>
      <c r="AY18" s="82">
        <f>SUM(AU7:AU9)</f>
        <v>0</v>
      </c>
      <c r="AZ18" s="82">
        <f>SUM(AW7:AW9)</f>
        <v>0</v>
      </c>
      <c r="BA18" s="276">
        <f>SUM(AU18:AZ18)</f>
        <v>0</v>
      </c>
      <c r="BB18" s="277"/>
    </row>
    <row r="19" spans="18:62" ht="60.75" customHeight="1">
      <c r="S19" s="78">
        <v>2</v>
      </c>
      <c r="T19" s="278"/>
      <c r="U19" s="279"/>
      <c r="V19" s="280"/>
      <c r="W19" s="281"/>
      <c r="X19" s="79" t="str">
        <f>TEXT(MOD(V19-T19,1),"h:mm")</f>
        <v>0:00</v>
      </c>
      <c r="Y19" s="80"/>
      <c r="Z19" s="282"/>
      <c r="AA19" s="282"/>
      <c r="AB19" s="282"/>
      <c r="AC19" s="282"/>
      <c r="AD19" s="282"/>
      <c r="AE19" s="282"/>
      <c r="AF19" s="282"/>
      <c r="AG19" s="283" t="s">
        <v>41</v>
      </c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5"/>
      <c r="AT19" s="83" t="s">
        <v>5</v>
      </c>
      <c r="AU19" s="286">
        <f>SUM(AS10:AS12)</f>
        <v>0</v>
      </c>
      <c r="AV19" s="287"/>
      <c r="AW19" s="84">
        <f>SUM(AT10:AT12)</f>
        <v>0</v>
      </c>
      <c r="AX19" s="84">
        <f>SUM(AV10:AV12)</f>
        <v>0</v>
      </c>
      <c r="AY19" s="84">
        <f>SUM(AU10:AU12)</f>
        <v>0</v>
      </c>
      <c r="AZ19" s="84">
        <f>SUM(AW10:AW12)</f>
        <v>0</v>
      </c>
      <c r="BA19" s="286">
        <f>SUM(AU19:AZ19)</f>
        <v>0</v>
      </c>
      <c r="BB19" s="287"/>
    </row>
    <row r="20" spans="18:62" ht="60.75" customHeight="1">
      <c r="S20" s="78">
        <v>3</v>
      </c>
      <c r="T20" s="278"/>
      <c r="U20" s="279"/>
      <c r="V20" s="280"/>
      <c r="W20" s="281"/>
      <c r="X20" s="79" t="str">
        <f>TEXT(MOD(V20-T20,1),"h:mm")</f>
        <v>0:00</v>
      </c>
      <c r="Y20" s="80"/>
      <c r="Z20" s="282"/>
      <c r="AA20" s="282"/>
      <c r="AB20" s="282"/>
      <c r="AC20" s="282"/>
      <c r="AD20" s="282"/>
      <c r="AE20" s="282"/>
      <c r="AF20" s="282"/>
      <c r="AG20" s="311">
        <f>SUM(BB7:BB9)</f>
        <v>0</v>
      </c>
      <c r="AH20" s="328"/>
      <c r="AI20" s="311">
        <f>SUM(BB10:BB12)</f>
        <v>0</v>
      </c>
      <c r="AJ20" s="328"/>
      <c r="AK20" s="94"/>
      <c r="AL20" s="311">
        <f>SUM(BB13:BB15)</f>
        <v>0</v>
      </c>
      <c r="AM20" s="329"/>
      <c r="AN20" s="328"/>
      <c r="AO20" s="311">
        <f>SUM(AG20:AN20)</f>
        <v>0</v>
      </c>
      <c r="AP20" s="312"/>
      <c r="AQ20" s="312"/>
      <c r="AR20" s="312"/>
      <c r="AS20" s="313"/>
      <c r="AT20" s="91" t="s">
        <v>65</v>
      </c>
      <c r="AU20" s="314">
        <f>SUM(AS13:AS15)</f>
        <v>0</v>
      </c>
      <c r="AV20" s="315"/>
      <c r="AW20" s="99">
        <f>SUM(AT13:AT15)</f>
        <v>0</v>
      </c>
      <c r="AX20" s="99">
        <f>SUM(AV13:AV15)</f>
        <v>0</v>
      </c>
      <c r="AY20" s="99">
        <f>SUM(AU13:AU15)</f>
        <v>0</v>
      </c>
      <c r="AZ20" s="99">
        <f>SUM(AW13:AW15)</f>
        <v>0</v>
      </c>
      <c r="BA20" s="316">
        <f>SUM(AU20:AZ20)</f>
        <v>0</v>
      </c>
      <c r="BB20" s="317"/>
    </row>
    <row r="21" spans="18:62" ht="60.75" customHeight="1">
      <c r="S21" s="78">
        <v>4</v>
      </c>
      <c r="T21" s="278"/>
      <c r="U21" s="279"/>
      <c r="V21" s="280"/>
      <c r="W21" s="281"/>
      <c r="X21" s="79" t="str">
        <f>TEXT(MOD(V21-T21,1),"h:mm")</f>
        <v>0:00</v>
      </c>
      <c r="Y21" s="80"/>
      <c r="Z21" s="318"/>
      <c r="AA21" s="318"/>
      <c r="AB21" s="318"/>
      <c r="AC21" s="318"/>
      <c r="AD21" s="318"/>
      <c r="AE21" s="318"/>
      <c r="AF21" s="318"/>
      <c r="AG21" s="319" t="s">
        <v>54</v>
      </c>
      <c r="AH21" s="320"/>
      <c r="AI21" s="320"/>
      <c r="AJ21" s="320"/>
      <c r="AK21" s="320"/>
      <c r="AL21" s="320"/>
      <c r="AM21" s="320"/>
      <c r="AN21" s="320"/>
      <c r="AO21" s="320"/>
      <c r="AP21" s="320"/>
      <c r="AQ21" s="320"/>
      <c r="AR21" s="320"/>
      <c r="AS21" s="321"/>
      <c r="AT21" s="322" t="s">
        <v>55</v>
      </c>
      <c r="AU21" s="323"/>
      <c r="AV21" s="324"/>
      <c r="AW21" s="325">
        <v>1680</v>
      </c>
      <c r="AX21" s="326"/>
      <c r="AY21" s="322" t="s">
        <v>56</v>
      </c>
      <c r="AZ21" s="324"/>
      <c r="BA21" s="330">
        <v>1628</v>
      </c>
      <c r="BB21" s="331"/>
    </row>
    <row r="22" spans="18:62" ht="54" customHeight="1">
      <c r="S22" s="78">
        <v>5</v>
      </c>
      <c r="T22" s="278"/>
      <c r="U22" s="279"/>
      <c r="V22" s="280"/>
      <c r="W22" s="281"/>
      <c r="X22" s="79" t="str">
        <f>TEXT(MOD(V22-T22,1),"h:mm")</f>
        <v>0:00</v>
      </c>
      <c r="Y22" s="80"/>
      <c r="Z22" s="318"/>
      <c r="AA22" s="318"/>
      <c r="AB22" s="318"/>
      <c r="AC22" s="318"/>
      <c r="AD22" s="318"/>
      <c r="AE22" s="318"/>
      <c r="AF22" s="318"/>
      <c r="AG22" s="357">
        <f>SUM(AY7:BA9)</f>
        <v>0</v>
      </c>
      <c r="AH22" s="357"/>
      <c r="AI22" s="298">
        <f>SUM(AY10:BA12)</f>
        <v>0</v>
      </c>
      <c r="AJ22" s="298"/>
      <c r="AK22" s="95"/>
      <c r="AL22" s="358">
        <f>SUM(AY13:BA15)</f>
        <v>0</v>
      </c>
      <c r="AM22" s="358"/>
      <c r="AN22" s="359"/>
      <c r="AO22" s="360">
        <f>SUM(AG22:AN22)</f>
        <v>0</v>
      </c>
      <c r="AP22" s="361"/>
      <c r="AQ22" s="361"/>
      <c r="AR22" s="361"/>
      <c r="AS22" s="362"/>
      <c r="AT22" s="98" t="s">
        <v>69</v>
      </c>
      <c r="AU22" s="363" t="s">
        <v>48</v>
      </c>
      <c r="AV22" s="364"/>
      <c r="AW22" s="365" t="s">
        <v>49</v>
      </c>
      <c r="AX22" s="366"/>
      <c r="AY22" s="332" t="s">
        <v>68</v>
      </c>
      <c r="AZ22" s="333"/>
      <c r="BA22" s="334" t="s">
        <v>57</v>
      </c>
      <c r="BB22" s="335"/>
    </row>
    <row r="23" spans="18:62" ht="59.25" customHeight="1">
      <c r="S23" s="336" t="s">
        <v>61</v>
      </c>
      <c r="T23" s="337"/>
      <c r="U23" s="337"/>
      <c r="V23" s="337"/>
      <c r="W23" s="338"/>
      <c r="X23" s="85">
        <f>SUM(X18+X19+X20+X21+X22)</f>
        <v>0</v>
      </c>
      <c r="Y23" s="143" t="s">
        <v>62</v>
      </c>
      <c r="Z23" s="86"/>
      <c r="AA23" s="87"/>
      <c r="AB23" s="87"/>
      <c r="AC23" s="339" t="s">
        <v>63</v>
      </c>
      <c r="AD23" s="339"/>
      <c r="AE23" s="340"/>
      <c r="AF23" s="341"/>
      <c r="AG23" s="342" t="s">
        <v>22</v>
      </c>
      <c r="AH23" s="343"/>
      <c r="AI23" s="344"/>
      <c r="AJ23" s="345" t="s">
        <v>48</v>
      </c>
      <c r="AK23" s="346"/>
      <c r="AL23" s="346"/>
      <c r="AM23" s="347"/>
      <c r="AN23" s="348" t="s">
        <v>49</v>
      </c>
      <c r="AO23" s="348"/>
      <c r="AP23" s="348"/>
      <c r="AQ23" s="349" t="s">
        <v>68</v>
      </c>
      <c r="AR23" s="350"/>
      <c r="AS23" s="351"/>
      <c r="AT23" s="96" t="s">
        <v>60</v>
      </c>
      <c r="AU23" s="352">
        <f>SUM(AQ7:AQ9)</f>
        <v>0</v>
      </c>
      <c r="AV23" s="353"/>
      <c r="AW23" s="352">
        <f>SUM(AQ10:AQ12)</f>
        <v>0</v>
      </c>
      <c r="AX23" s="354"/>
      <c r="AY23" s="352">
        <f>SUM(AQ13:AQ15)</f>
        <v>0</v>
      </c>
      <c r="AZ23" s="353"/>
      <c r="BA23" s="355">
        <f>SUM(AU23:AZ23)</f>
        <v>0</v>
      </c>
      <c r="BB23" s="356"/>
    </row>
    <row r="24" spans="18:62" ht="57" customHeight="1">
      <c r="S24" s="367"/>
      <c r="T24" s="368"/>
      <c r="U24" s="368"/>
      <c r="V24" s="368"/>
      <c r="W24" s="369"/>
      <c r="X24" s="373" t="s">
        <v>73</v>
      </c>
      <c r="Y24" s="104" t="s">
        <v>70</v>
      </c>
      <c r="Z24" s="105" t="s">
        <v>71</v>
      </c>
      <c r="AA24" s="103"/>
      <c r="AB24" s="103"/>
      <c r="AC24" s="375" t="s">
        <v>72</v>
      </c>
      <c r="AD24" s="376"/>
      <c r="AE24" s="377" t="s">
        <v>57</v>
      </c>
      <c r="AF24" s="378"/>
      <c r="AG24" s="379" t="s">
        <v>58</v>
      </c>
      <c r="AH24" s="380"/>
      <c r="AI24" s="381"/>
      <c r="AJ24" s="382">
        <f>AVERAGE(Z7:Z8)</f>
        <v>0</v>
      </c>
      <c r="AK24" s="383"/>
      <c r="AL24" s="383"/>
      <c r="AM24" s="383"/>
      <c r="AN24" s="382">
        <f>AVERAGE(Z10:Z12)</f>
        <v>0</v>
      </c>
      <c r="AO24" s="383"/>
      <c r="AP24" s="383"/>
      <c r="AQ24" s="382">
        <f>AVERAGE(Z13:Z15)</f>
        <v>0</v>
      </c>
      <c r="AR24" s="383"/>
      <c r="AS24" s="383"/>
      <c r="AT24" s="97" t="s">
        <v>64</v>
      </c>
      <c r="AU24" s="387">
        <f>SUM(AL7:AP9)</f>
        <v>0</v>
      </c>
      <c r="AV24" s="388"/>
      <c r="AW24" s="387">
        <f>SUM(AL10:AP12)</f>
        <v>0</v>
      </c>
      <c r="AX24" s="388"/>
      <c r="AY24" s="387">
        <f>SUM(AL13:AP15)</f>
        <v>0</v>
      </c>
      <c r="AZ24" s="388"/>
      <c r="BA24" s="389">
        <f>SUM(AU24:AZ24)</f>
        <v>0</v>
      </c>
      <c r="BB24" s="390"/>
    </row>
    <row r="25" spans="18:62" ht="52.5" customHeight="1">
      <c r="S25" s="370"/>
      <c r="T25" s="371"/>
      <c r="U25" s="371"/>
      <c r="V25" s="371"/>
      <c r="W25" s="372"/>
      <c r="X25" s="374"/>
      <c r="Y25" s="106">
        <f>SUM(AD7:AD8)</f>
        <v>0</v>
      </c>
      <c r="Z25" s="106">
        <f>SUM(AD10:AD12)</f>
        <v>0</v>
      </c>
      <c r="AA25" s="107"/>
      <c r="AB25" s="107"/>
      <c r="AC25" s="391">
        <f>SUM(AD13:AD15)</f>
        <v>0</v>
      </c>
      <c r="AD25" s="392"/>
      <c r="AE25" s="393">
        <f>SUM(Y25:AD25)</f>
        <v>0</v>
      </c>
      <c r="AF25" s="394"/>
      <c r="AG25" s="379" t="s">
        <v>59</v>
      </c>
      <c r="AH25" s="380"/>
      <c r="AI25" s="381"/>
      <c r="AJ25" s="382">
        <f>SUM(Z7:Z9)</f>
        <v>0</v>
      </c>
      <c r="AK25" s="383"/>
      <c r="AL25" s="383"/>
      <c r="AM25" s="383"/>
      <c r="AN25" s="382">
        <f>SUM(Z10:Z12)</f>
        <v>0</v>
      </c>
      <c r="AO25" s="383"/>
      <c r="AP25" s="383"/>
      <c r="AQ25" s="382">
        <f>SUM(Z13:Z15)</f>
        <v>0</v>
      </c>
      <c r="AR25" s="383"/>
      <c r="AS25" s="383"/>
      <c r="AT25" s="384"/>
      <c r="AU25" s="385"/>
      <c r="AV25" s="385"/>
      <c r="AW25" s="385"/>
      <c r="AX25" s="385"/>
      <c r="AY25" s="385"/>
      <c r="AZ25" s="385"/>
      <c r="BA25" s="385"/>
      <c r="BB25" s="386"/>
    </row>
    <row r="26" spans="18:62" ht="60.75" customHeight="1"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8:62" ht="30" customHeight="1"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8:62" ht="30" customHeight="1"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T28" s="4"/>
      <c r="AU28" s="4"/>
      <c r="AV28" s="4"/>
      <c r="AW28" s="4"/>
      <c r="AX28" s="4"/>
      <c r="AY28" s="4"/>
      <c r="AZ28" s="4"/>
      <c r="BA28" s="4"/>
    </row>
    <row r="29" spans="18:62" ht="30" customHeight="1"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T29" s="4"/>
      <c r="AU29" s="4"/>
      <c r="AV29" s="4"/>
      <c r="AW29" s="4"/>
      <c r="AX29" s="4"/>
      <c r="AY29" s="4"/>
      <c r="AZ29" s="4"/>
      <c r="BA29" s="4"/>
    </row>
    <row r="30" spans="18:62" ht="30" customHeight="1">
      <c r="R30" s="3"/>
      <c r="S30" s="3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T30" s="4"/>
      <c r="AU30" s="4"/>
      <c r="AV30" s="4"/>
      <c r="AW30" s="4"/>
      <c r="AX30" s="4"/>
      <c r="AY30" s="4"/>
      <c r="AZ30" s="4"/>
      <c r="BA30" s="4"/>
    </row>
    <row r="31" spans="18:62" ht="30" customHeight="1">
      <c r="R31" s="3"/>
      <c r="S31" s="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T31" s="4"/>
      <c r="AU31" s="4"/>
      <c r="AV31" s="4"/>
      <c r="AW31" s="4"/>
      <c r="AX31" s="4"/>
      <c r="AY31" s="4"/>
      <c r="AZ31" s="4"/>
      <c r="BA31" s="4"/>
    </row>
    <row r="32" spans="18:62" ht="15" customHeight="1">
      <c r="S32" s="3"/>
      <c r="BJ32" s="4">
        <v>8</v>
      </c>
    </row>
  </sheetData>
  <mergeCells count="145">
    <mergeCell ref="S1:W3"/>
    <mergeCell ref="X1:Y3"/>
    <mergeCell ref="AC1:AE1"/>
    <mergeCell ref="AF1:AH1"/>
    <mergeCell ref="AI1:AL1"/>
    <mergeCell ref="AM1:AP1"/>
    <mergeCell ref="AF3:AH3"/>
    <mergeCell ref="AI3:AL3"/>
    <mergeCell ref="AM3:AP3"/>
    <mergeCell ref="AQ1:AT1"/>
    <mergeCell ref="AU1:AW1"/>
    <mergeCell ref="AF5:AF6"/>
    <mergeCell ref="AG5:AG6"/>
    <mergeCell ref="AX1:BB3"/>
    <mergeCell ref="AC2:AE2"/>
    <mergeCell ref="AF2:AH2"/>
    <mergeCell ref="AI2:AL2"/>
    <mergeCell ref="AM2:AP2"/>
    <mergeCell ref="AQ2:AT2"/>
    <mergeCell ref="AU2:AW2"/>
    <mergeCell ref="AC3:AE3"/>
    <mergeCell ref="AQ3:AT3"/>
    <mergeCell ref="AU3:AW3"/>
    <mergeCell ref="AX4:BB4"/>
    <mergeCell ref="BA5:BA6"/>
    <mergeCell ref="BB5:BB6"/>
    <mergeCell ref="S4:Z4"/>
    <mergeCell ref="AA4:AB4"/>
    <mergeCell ref="AC4:AD4"/>
    <mergeCell ref="AE4:AJ4"/>
    <mergeCell ref="AL4:AQ4"/>
    <mergeCell ref="AS4:AW4"/>
    <mergeCell ref="T7:T9"/>
    <mergeCell ref="T10:T12"/>
    <mergeCell ref="T13:T15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S16:AF16"/>
    <mergeCell ref="AG16:AS16"/>
    <mergeCell ref="AT16:BB16"/>
    <mergeCell ref="AU5:AU6"/>
    <mergeCell ref="AV5:AV6"/>
    <mergeCell ref="AW5:AW6"/>
    <mergeCell ref="AX5:AX6"/>
    <mergeCell ref="AY5:AY6"/>
    <mergeCell ref="AZ5:AZ6"/>
    <mergeCell ref="AH5:AH6"/>
    <mergeCell ref="AI5:AI6"/>
    <mergeCell ref="AJ5:AJ6"/>
    <mergeCell ref="AK5:AR5"/>
    <mergeCell ref="AS5:AS6"/>
    <mergeCell ref="AT5:AT6"/>
    <mergeCell ref="AB5:AB6"/>
    <mergeCell ref="AC5:AC6"/>
    <mergeCell ref="AD5:AD6"/>
    <mergeCell ref="AE5:AE6"/>
    <mergeCell ref="AU18:AV18"/>
    <mergeCell ref="BA18:BB18"/>
    <mergeCell ref="T19:U19"/>
    <mergeCell ref="V19:W19"/>
    <mergeCell ref="Z19:AF19"/>
    <mergeCell ref="AG19:AS19"/>
    <mergeCell ref="AU19:AV19"/>
    <mergeCell ref="BA19:BB19"/>
    <mergeCell ref="AO17:AS17"/>
    <mergeCell ref="AU17:AV17"/>
    <mergeCell ref="BA17:BB17"/>
    <mergeCell ref="T18:U18"/>
    <mergeCell ref="V18:W18"/>
    <mergeCell ref="Z18:AF18"/>
    <mergeCell ref="AG18:AH18"/>
    <mergeCell ref="AI18:AJ18"/>
    <mergeCell ref="AL18:AN18"/>
    <mergeCell ref="AO18:AS18"/>
    <mergeCell ref="T17:U17"/>
    <mergeCell ref="V17:W17"/>
    <mergeCell ref="Z17:AF17"/>
    <mergeCell ref="AG17:AH17"/>
    <mergeCell ref="AI17:AJ17"/>
    <mergeCell ref="AL17:AN17"/>
    <mergeCell ref="AO20:AS20"/>
    <mergeCell ref="AU20:AV20"/>
    <mergeCell ref="BA20:BB20"/>
    <mergeCell ref="T21:U21"/>
    <mergeCell ref="V21:W21"/>
    <mergeCell ref="Z21:AF21"/>
    <mergeCell ref="AG21:AS21"/>
    <mergeCell ref="AT21:AV21"/>
    <mergeCell ref="AW21:AX21"/>
    <mergeCell ref="AY21:AZ21"/>
    <mergeCell ref="T20:U20"/>
    <mergeCell ref="V20:W20"/>
    <mergeCell ref="Z20:AF20"/>
    <mergeCell ref="AG20:AH20"/>
    <mergeCell ref="AI20:AJ20"/>
    <mergeCell ref="AL20:AN20"/>
    <mergeCell ref="BA21:BB21"/>
    <mergeCell ref="AY22:AZ22"/>
    <mergeCell ref="BA22:BB22"/>
    <mergeCell ref="S23:W23"/>
    <mergeCell ref="AC23:AD23"/>
    <mergeCell ref="AE23:AF23"/>
    <mergeCell ref="AG23:AI23"/>
    <mergeCell ref="AJ23:AM23"/>
    <mergeCell ref="AN23:AP23"/>
    <mergeCell ref="AQ23:AS23"/>
    <mergeCell ref="AU23:AV23"/>
    <mergeCell ref="AW23:AX23"/>
    <mergeCell ref="AY23:AZ23"/>
    <mergeCell ref="BA23:BB23"/>
    <mergeCell ref="T22:U22"/>
    <mergeCell ref="V22:W22"/>
    <mergeCell ref="Z22:AF22"/>
    <mergeCell ref="AG22:AH22"/>
    <mergeCell ref="AI22:AJ22"/>
    <mergeCell ref="AL22:AN22"/>
    <mergeCell ref="AO22:AS22"/>
    <mergeCell ref="AU22:AV22"/>
    <mergeCell ref="AW22:AX22"/>
    <mergeCell ref="S24:W25"/>
    <mergeCell ref="X24:X25"/>
    <mergeCell ref="AC24:AD24"/>
    <mergeCell ref="AE24:AF24"/>
    <mergeCell ref="AG24:AI24"/>
    <mergeCell ref="AJ24:AM24"/>
    <mergeCell ref="AN24:AP24"/>
    <mergeCell ref="AQ25:AS25"/>
    <mergeCell ref="AT25:BB25"/>
    <mergeCell ref="AQ24:AS24"/>
    <mergeCell ref="AU24:AV24"/>
    <mergeCell ref="AW24:AX24"/>
    <mergeCell ref="AY24:AZ24"/>
    <mergeCell ref="BA24:BB24"/>
    <mergeCell ref="AC25:AD25"/>
    <mergeCell ref="AE25:AF25"/>
    <mergeCell ref="AG25:AI25"/>
    <mergeCell ref="AJ25:AM25"/>
    <mergeCell ref="AN25:AP25"/>
  </mergeCells>
  <conditionalFormatting sqref="Z7:Z15">
    <cfRule type="cellIs" dxfId="351" priority="3" operator="greaterThan">
      <formula>0.167361111111111</formula>
    </cfRule>
    <cfRule type="cellIs" dxfId="350" priority="4" operator="greaterThan">
      <formula>0.15625</formula>
    </cfRule>
  </conditionalFormatting>
  <conditionalFormatting sqref="AA7:AJ15">
    <cfRule type="cellIs" dxfId="349" priority="11" operator="between">
      <formula>1700</formula>
      <formula>1710</formula>
    </cfRule>
    <cfRule type="cellIs" dxfId="348" priority="12" operator="between">
      <formula>1691</formula>
      <formula>1700</formula>
    </cfRule>
  </conditionalFormatting>
  <conditionalFormatting sqref="AS7:AS15">
    <cfRule type="expression" dxfId="347" priority="13">
      <formula>IF(($AS7/$AX7)*1000&gt;$AY$1,1,0)</formula>
    </cfRule>
  </conditionalFormatting>
  <conditionalFormatting sqref="AT7:AW15">
    <cfRule type="cellIs" dxfId="346" priority="5" operator="greaterThan">
      <formula>10</formula>
    </cfRule>
  </conditionalFormatting>
  <conditionalFormatting sqref="AX7:AX15">
    <cfRule type="cellIs" dxfId="345" priority="2" operator="between">
      <formula>16000</formula>
      <formula>17200</formula>
    </cfRule>
    <cfRule type="cellIs" dxfId="344" priority="6" operator="lessThan">
      <formula>15800</formula>
    </cfRule>
    <cfRule type="cellIs" dxfId="343" priority="7" operator="greaterThan">
      <formula>18000</formula>
    </cfRule>
  </conditionalFormatting>
  <conditionalFormatting sqref="AZ7:BA15">
    <cfRule type="cellIs" dxfId="342" priority="10" operator="greaterThan">
      <formula>0</formula>
    </cfRule>
  </conditionalFormatting>
  <conditionalFormatting sqref="BB7:BB15">
    <cfRule type="cellIs" dxfId="341" priority="1" operator="between">
      <formula>16000</formula>
      <formula>17200</formula>
    </cfRule>
    <cfRule type="cellIs" dxfId="340" priority="8" operator="greaterThan">
      <formula>18000</formula>
    </cfRule>
    <cfRule type="cellIs" dxfId="339" priority="9" operator="lessThan">
      <formula>15800</formula>
    </cfRule>
  </conditionalFormatting>
  <printOptions horizontalCentered="1" verticalCentered="1"/>
  <pageMargins left="0" right="0" top="0" bottom="0.21" header="0" footer="0"/>
  <pageSetup paperSize="9" scale="42" orientation="landscape" cellComments="asDisplayed" r:id="rId1"/>
  <headerFooter differentFirst="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5F14C-7930-48A1-8C49-0606AD3DD956}">
  <sheetPr>
    <tabColor theme="5"/>
    <pageSetUpPr fitToPage="1"/>
  </sheetPr>
  <dimension ref="R1:BJ32"/>
  <sheetViews>
    <sheetView showGridLines="0" rightToLeft="1" topLeftCell="N1" zoomScale="55" zoomScaleNormal="55" zoomScalePageLayoutView="40" workbookViewId="0">
      <selection activeCell="AQ10" sqref="AQ10"/>
    </sheetView>
  </sheetViews>
  <sheetFormatPr defaultColWidth="9.140625" defaultRowHeight="15"/>
  <cols>
    <col min="1" max="18" width="9.140625" style="4"/>
    <col min="19" max="19" width="5.7109375" style="4" customWidth="1"/>
    <col min="20" max="20" width="9.5703125" style="3" customWidth="1"/>
    <col min="21" max="21" width="10.7109375" style="3" customWidth="1"/>
    <col min="22" max="22" width="9.42578125" style="88" customWidth="1"/>
    <col min="23" max="23" width="8.85546875" style="88" customWidth="1"/>
    <col min="24" max="24" width="14.42578125" style="3" customWidth="1"/>
    <col min="25" max="25" width="14.7109375" style="3" customWidth="1"/>
    <col min="26" max="26" width="15.140625" style="88" customWidth="1"/>
    <col min="27" max="27" width="9.5703125" style="3" hidden="1" customWidth="1"/>
    <col min="28" max="28" width="10" style="3" hidden="1" customWidth="1"/>
    <col min="29" max="29" width="8.140625" style="3" customWidth="1"/>
    <col min="30" max="30" width="8.5703125" style="3" customWidth="1"/>
    <col min="31" max="31" width="12.42578125" style="3" customWidth="1"/>
    <col min="32" max="32" width="10.5703125" style="3" customWidth="1"/>
    <col min="33" max="33" width="9.5703125" style="3" customWidth="1"/>
    <col min="34" max="34" width="11.42578125" style="3" customWidth="1"/>
    <col min="35" max="35" width="9.42578125" style="3" customWidth="1"/>
    <col min="36" max="36" width="9.28515625" style="3" customWidth="1"/>
    <col min="37" max="37" width="6.7109375" style="3" hidden="1" customWidth="1"/>
    <col min="38" max="42" width="6.7109375" style="3" customWidth="1"/>
    <col min="43" max="43" width="8.140625" style="3" customWidth="1"/>
    <col min="44" max="44" width="6.7109375" style="3" hidden="1" customWidth="1"/>
    <col min="45" max="45" width="10.42578125" style="3" customWidth="1"/>
    <col min="46" max="46" width="8.7109375" style="3" customWidth="1"/>
    <col min="47" max="47" width="8.5703125" style="3" customWidth="1"/>
    <col min="48" max="48" width="8.7109375" style="3" customWidth="1"/>
    <col min="49" max="49" width="9.5703125" style="3" customWidth="1"/>
    <col min="50" max="50" width="12.42578125" style="88" customWidth="1"/>
    <col min="51" max="51" width="11.85546875" style="3" customWidth="1"/>
    <col min="52" max="52" width="11.5703125" style="3" customWidth="1"/>
    <col min="53" max="53" width="13.42578125" style="3" customWidth="1"/>
    <col min="54" max="54" width="13.5703125" style="4" customWidth="1"/>
    <col min="55" max="57" width="9.140625" style="4"/>
    <col min="58" max="58" width="25" style="4" customWidth="1"/>
    <col min="59" max="61" width="9.140625" style="4"/>
    <col min="62" max="62" width="23.5703125" style="4" customWidth="1"/>
    <col min="63" max="16384" width="9.140625" style="4"/>
  </cols>
  <sheetData>
    <row r="1" spans="19:54" ht="36.75" customHeight="1" thickBot="1">
      <c r="S1" s="180"/>
      <c r="T1" s="181"/>
      <c r="U1" s="181"/>
      <c r="V1" s="181"/>
      <c r="W1" s="181"/>
      <c r="X1" s="182" t="s">
        <v>0</v>
      </c>
      <c r="Y1" s="183"/>
      <c r="Z1" s="1" t="s">
        <v>1</v>
      </c>
      <c r="AA1" s="2"/>
      <c r="AC1" s="188" t="s">
        <v>2</v>
      </c>
      <c r="AD1" s="189"/>
      <c r="AE1" s="189"/>
      <c r="AF1" s="190" t="s">
        <v>75</v>
      </c>
      <c r="AG1" s="191"/>
      <c r="AH1" s="192"/>
      <c r="AI1" s="193" t="s">
        <v>3</v>
      </c>
      <c r="AJ1" s="194"/>
      <c r="AK1" s="194"/>
      <c r="AL1" s="195"/>
      <c r="AM1" s="196" t="s">
        <v>76</v>
      </c>
      <c r="AN1" s="197"/>
      <c r="AO1" s="197"/>
      <c r="AP1" s="198"/>
      <c r="AQ1" s="203" t="s">
        <v>4</v>
      </c>
      <c r="AR1" s="204"/>
      <c r="AS1" s="204"/>
      <c r="AT1" s="205"/>
      <c r="AU1" s="206" t="s">
        <v>74</v>
      </c>
      <c r="AV1" s="207"/>
      <c r="AW1" s="208"/>
      <c r="AX1" s="211" t="s">
        <v>118</v>
      </c>
      <c r="AY1" s="211"/>
      <c r="AZ1" s="211"/>
      <c r="BA1" s="211"/>
      <c r="BB1" s="211"/>
    </row>
    <row r="2" spans="19:54" ht="36.75" customHeight="1" thickBot="1">
      <c r="S2" s="180"/>
      <c r="T2" s="181"/>
      <c r="U2" s="181"/>
      <c r="V2" s="181"/>
      <c r="W2" s="181"/>
      <c r="X2" s="184"/>
      <c r="Y2" s="185"/>
      <c r="Z2" s="5" t="s">
        <v>5</v>
      </c>
      <c r="AA2" s="89"/>
      <c r="AC2" s="188" t="s">
        <v>2</v>
      </c>
      <c r="AD2" s="189"/>
      <c r="AE2" s="212"/>
      <c r="AF2" s="190" t="s">
        <v>78</v>
      </c>
      <c r="AG2" s="191"/>
      <c r="AH2" s="192"/>
      <c r="AI2" s="193" t="s">
        <v>3</v>
      </c>
      <c r="AJ2" s="194"/>
      <c r="AK2" s="194"/>
      <c r="AL2" s="195"/>
      <c r="AM2" s="202" t="s">
        <v>79</v>
      </c>
      <c r="AN2" s="202"/>
      <c r="AO2" s="202"/>
      <c r="AP2" s="202"/>
      <c r="AQ2" s="203" t="s">
        <v>4</v>
      </c>
      <c r="AR2" s="204"/>
      <c r="AS2" s="204"/>
      <c r="AT2" s="205"/>
      <c r="AU2" s="213" t="s">
        <v>77</v>
      </c>
      <c r="AV2" s="213"/>
      <c r="AW2" s="213"/>
      <c r="AX2" s="211"/>
      <c r="AY2" s="211"/>
      <c r="AZ2" s="211"/>
      <c r="BA2" s="211"/>
      <c r="BB2" s="211"/>
    </row>
    <row r="3" spans="19:54" ht="38.25" customHeight="1" thickBot="1">
      <c r="S3" s="181"/>
      <c r="T3" s="181"/>
      <c r="U3" s="181"/>
      <c r="V3" s="181"/>
      <c r="W3" s="181"/>
      <c r="X3" s="186"/>
      <c r="Y3" s="187"/>
      <c r="Z3" s="90" t="s">
        <v>65</v>
      </c>
      <c r="AA3" s="6"/>
      <c r="AC3" s="188" t="s">
        <v>6</v>
      </c>
      <c r="AD3" s="189"/>
      <c r="AE3" s="212"/>
      <c r="AF3" s="190" t="s">
        <v>81</v>
      </c>
      <c r="AG3" s="191"/>
      <c r="AH3" s="192"/>
      <c r="AI3" s="199" t="s">
        <v>7</v>
      </c>
      <c r="AJ3" s="200"/>
      <c r="AK3" s="200"/>
      <c r="AL3" s="201"/>
      <c r="AM3" s="202" t="s">
        <v>82</v>
      </c>
      <c r="AN3" s="202"/>
      <c r="AO3" s="202"/>
      <c r="AP3" s="202"/>
      <c r="AQ3" s="203" t="s">
        <v>4</v>
      </c>
      <c r="AR3" s="204"/>
      <c r="AS3" s="204"/>
      <c r="AT3" s="214"/>
      <c r="AU3" s="215" t="s">
        <v>80</v>
      </c>
      <c r="AV3" s="216"/>
      <c r="AW3" s="217"/>
      <c r="AX3" s="211"/>
      <c r="AY3" s="211"/>
      <c r="AZ3" s="211"/>
      <c r="BA3" s="211"/>
      <c r="BB3" s="211"/>
    </row>
    <row r="4" spans="19:54" ht="34.5" customHeight="1" thickBot="1">
      <c r="S4" s="225" t="s">
        <v>8</v>
      </c>
      <c r="T4" s="226"/>
      <c r="U4" s="226"/>
      <c r="V4" s="226"/>
      <c r="W4" s="226"/>
      <c r="X4" s="227"/>
      <c r="Y4" s="227"/>
      <c r="Z4" s="228"/>
      <c r="AA4" s="229" t="s">
        <v>9</v>
      </c>
      <c r="AB4" s="230"/>
      <c r="AC4" s="231" t="s">
        <v>10</v>
      </c>
      <c r="AD4" s="232"/>
      <c r="AE4" s="233" t="s">
        <v>11</v>
      </c>
      <c r="AF4" s="234"/>
      <c r="AG4" s="234"/>
      <c r="AH4" s="234"/>
      <c r="AI4" s="234"/>
      <c r="AJ4" s="235"/>
      <c r="AK4" s="7"/>
      <c r="AL4" s="236" t="s">
        <v>12</v>
      </c>
      <c r="AM4" s="237"/>
      <c r="AN4" s="237"/>
      <c r="AO4" s="237"/>
      <c r="AP4" s="237"/>
      <c r="AQ4" s="237"/>
      <c r="AR4" s="8"/>
      <c r="AS4" s="238" t="s">
        <v>13</v>
      </c>
      <c r="AT4" s="239"/>
      <c r="AU4" s="239"/>
      <c r="AV4" s="239"/>
      <c r="AW4" s="240"/>
      <c r="AX4" s="218" t="s">
        <v>14</v>
      </c>
      <c r="AY4" s="219"/>
      <c r="AZ4" s="219"/>
      <c r="BA4" s="219"/>
      <c r="BB4" s="220"/>
    </row>
    <row r="5" spans="19:54" ht="52.5" customHeight="1">
      <c r="S5" s="246" t="s">
        <v>15</v>
      </c>
      <c r="T5" s="248" t="s">
        <v>16</v>
      </c>
      <c r="U5" s="248" t="s">
        <v>17</v>
      </c>
      <c r="V5" s="248" t="s">
        <v>18</v>
      </c>
      <c r="W5" s="248" t="s">
        <v>19</v>
      </c>
      <c r="X5" s="248" t="s">
        <v>20</v>
      </c>
      <c r="Y5" s="248" t="s">
        <v>21</v>
      </c>
      <c r="Z5" s="250" t="s">
        <v>22</v>
      </c>
      <c r="AA5" s="252" t="s">
        <v>23</v>
      </c>
      <c r="AB5" s="270" t="s">
        <v>9</v>
      </c>
      <c r="AC5" s="272" t="s">
        <v>24</v>
      </c>
      <c r="AD5" s="272" t="s">
        <v>25</v>
      </c>
      <c r="AE5" s="274" t="s">
        <v>26</v>
      </c>
      <c r="AF5" s="209" t="s">
        <v>27</v>
      </c>
      <c r="AG5" s="209" t="s">
        <v>28</v>
      </c>
      <c r="AH5" s="263" t="s">
        <v>29</v>
      </c>
      <c r="AI5" s="263" t="s">
        <v>30</v>
      </c>
      <c r="AJ5" s="265" t="s">
        <v>31</v>
      </c>
      <c r="AK5" s="267" t="s">
        <v>32</v>
      </c>
      <c r="AL5" s="268"/>
      <c r="AM5" s="268"/>
      <c r="AN5" s="268"/>
      <c r="AO5" s="268"/>
      <c r="AP5" s="268"/>
      <c r="AQ5" s="268"/>
      <c r="AR5" s="269"/>
      <c r="AS5" s="259" t="s">
        <v>33</v>
      </c>
      <c r="AT5" s="259" t="s">
        <v>34</v>
      </c>
      <c r="AU5" s="259" t="s">
        <v>35</v>
      </c>
      <c r="AV5" s="259" t="s">
        <v>66</v>
      </c>
      <c r="AW5" s="261" t="s">
        <v>36</v>
      </c>
      <c r="AX5" s="252" t="s">
        <v>37</v>
      </c>
      <c r="AY5" s="221" t="s">
        <v>38</v>
      </c>
      <c r="AZ5" s="221" t="s">
        <v>39</v>
      </c>
      <c r="BA5" s="221" t="s">
        <v>40</v>
      </c>
      <c r="BB5" s="223" t="s">
        <v>41</v>
      </c>
    </row>
    <row r="6" spans="19:54" ht="27.95" customHeight="1" thickBot="1">
      <c r="S6" s="247"/>
      <c r="T6" s="249"/>
      <c r="U6" s="249"/>
      <c r="V6" s="249"/>
      <c r="W6" s="249"/>
      <c r="X6" s="249"/>
      <c r="Y6" s="249"/>
      <c r="Z6" s="251"/>
      <c r="AA6" s="253"/>
      <c r="AB6" s="271"/>
      <c r="AC6" s="273"/>
      <c r="AD6" s="273"/>
      <c r="AE6" s="275"/>
      <c r="AF6" s="210"/>
      <c r="AG6" s="210"/>
      <c r="AH6" s="264"/>
      <c r="AI6" s="264"/>
      <c r="AJ6" s="266"/>
      <c r="AK6" s="9">
        <v>1</v>
      </c>
      <c r="AL6" s="10">
        <v>2</v>
      </c>
      <c r="AM6" s="10">
        <v>3</v>
      </c>
      <c r="AN6" s="10">
        <v>4</v>
      </c>
      <c r="AO6" s="10">
        <v>5</v>
      </c>
      <c r="AP6" s="10">
        <v>6</v>
      </c>
      <c r="AQ6" s="10">
        <v>12</v>
      </c>
      <c r="AR6" s="11"/>
      <c r="AS6" s="260"/>
      <c r="AT6" s="260"/>
      <c r="AU6" s="260"/>
      <c r="AV6" s="260"/>
      <c r="AW6" s="262"/>
      <c r="AX6" s="253"/>
      <c r="AY6" s="222"/>
      <c r="AZ6" s="222"/>
      <c r="BA6" s="222"/>
      <c r="BB6" s="224"/>
    </row>
    <row r="7" spans="19:54" s="34" customFormat="1" ht="48" customHeight="1" thickBot="1">
      <c r="S7" s="12">
        <v>1</v>
      </c>
      <c r="T7" s="241" t="s">
        <v>1</v>
      </c>
      <c r="U7" s="13"/>
      <c r="V7" s="14"/>
      <c r="W7" s="15"/>
      <c r="X7" s="16"/>
      <c r="Y7" s="17"/>
      <c r="Z7" s="18">
        <f t="shared" ref="Z7:Z15" si="0">IF(Y7&lt;X7,1+Y7-X7,Y7-X7)</f>
        <v>0</v>
      </c>
      <c r="AA7" s="19"/>
      <c r="AB7" s="20"/>
      <c r="AC7" s="21"/>
      <c r="AD7" s="100"/>
      <c r="AE7" s="22"/>
      <c r="AF7" s="23"/>
      <c r="AG7" s="23"/>
      <c r="AH7" s="23"/>
      <c r="AI7" s="23"/>
      <c r="AJ7" s="24"/>
      <c r="AK7" s="25"/>
      <c r="AL7" s="26"/>
      <c r="AM7" s="26"/>
      <c r="AN7" s="26"/>
      <c r="AO7" s="26"/>
      <c r="AP7" s="26"/>
      <c r="AQ7" s="26"/>
      <c r="AR7" s="27"/>
      <c r="AS7" s="28"/>
      <c r="AT7" s="13"/>
      <c r="AU7" s="13"/>
      <c r="AV7" s="13"/>
      <c r="AW7" s="29"/>
      <c r="AX7" s="30">
        <f t="shared" ref="AX7:AX15" si="1">SUM(AY7:BB7)</f>
        <v>0</v>
      </c>
      <c r="AY7" s="31">
        <v>0</v>
      </c>
      <c r="AZ7" s="32">
        <v>0</v>
      </c>
      <c r="BA7" s="31">
        <v>0</v>
      </c>
      <c r="BB7" s="33">
        <f t="shared" ref="BB7:BB15" si="2">SUM(($AQ$6*AQ7+$AP$6*AP7+$AN$6*AN7+$AM$6*$AM7+$AL$6*AL7+$AK$6*AK7+$AO$6*AO7+$AR$6*AR7)*175)</f>
        <v>0</v>
      </c>
    </row>
    <row r="8" spans="19:54" s="34" customFormat="1" ht="48" customHeight="1" thickBot="1">
      <c r="S8" s="12">
        <v>2</v>
      </c>
      <c r="T8" s="242"/>
      <c r="U8" s="35"/>
      <c r="V8" s="140"/>
      <c r="W8" s="140"/>
      <c r="X8" s="36"/>
      <c r="Y8" s="36"/>
      <c r="Z8" s="37">
        <f t="shared" si="0"/>
        <v>0</v>
      </c>
      <c r="AA8" s="38"/>
      <c r="AB8" s="39"/>
      <c r="AC8" s="40"/>
      <c r="AD8" s="101"/>
      <c r="AE8" s="41"/>
      <c r="AF8" s="42"/>
      <c r="AG8" s="42"/>
      <c r="AH8" s="42"/>
      <c r="AI8" s="42"/>
      <c r="AJ8" s="43"/>
      <c r="AK8" s="44"/>
      <c r="AL8" s="45"/>
      <c r="AM8" s="45"/>
      <c r="AN8" s="45"/>
      <c r="AO8" s="45"/>
      <c r="AP8" s="45"/>
      <c r="AQ8" s="45"/>
      <c r="AR8" s="46"/>
      <c r="AS8" s="47"/>
      <c r="AT8" s="35"/>
      <c r="AU8" s="35"/>
      <c r="AV8" s="35"/>
      <c r="AW8" s="48"/>
      <c r="AX8" s="49">
        <f t="shared" si="1"/>
        <v>0</v>
      </c>
      <c r="AY8" s="50">
        <v>0</v>
      </c>
      <c r="AZ8" s="51">
        <v>0</v>
      </c>
      <c r="BA8" s="52">
        <v>0</v>
      </c>
      <c r="BB8" s="53">
        <f t="shared" si="2"/>
        <v>0</v>
      </c>
    </row>
    <row r="9" spans="19:54" s="34" customFormat="1" ht="48" customHeight="1" thickBot="1">
      <c r="S9" s="12">
        <v>3</v>
      </c>
      <c r="T9" s="242"/>
      <c r="U9" s="35"/>
      <c r="V9" s="140"/>
      <c r="W9" s="140"/>
      <c r="X9" s="36"/>
      <c r="Y9" s="36"/>
      <c r="Z9" s="37">
        <f t="shared" si="0"/>
        <v>0</v>
      </c>
      <c r="AA9" s="38"/>
      <c r="AB9" s="39"/>
      <c r="AC9" s="40"/>
      <c r="AD9" s="101"/>
      <c r="AE9" s="41"/>
      <c r="AF9" s="42"/>
      <c r="AG9" s="42"/>
      <c r="AH9" s="42"/>
      <c r="AI9" s="42"/>
      <c r="AJ9" s="43"/>
      <c r="AK9" s="44"/>
      <c r="AL9" s="45"/>
      <c r="AM9" s="45"/>
      <c r="AN9" s="45"/>
      <c r="AO9" s="45"/>
      <c r="AP9" s="45"/>
      <c r="AQ9" s="45"/>
      <c r="AR9" s="46"/>
      <c r="AS9" s="47"/>
      <c r="AT9" s="35"/>
      <c r="AU9" s="35"/>
      <c r="AV9" s="35"/>
      <c r="AW9" s="48"/>
      <c r="AX9" s="49">
        <f t="shared" si="1"/>
        <v>0</v>
      </c>
      <c r="AY9" s="51">
        <v>0</v>
      </c>
      <c r="AZ9" s="52">
        <v>0</v>
      </c>
      <c r="BA9" s="51">
        <v>0</v>
      </c>
      <c r="BB9" s="53">
        <f t="shared" si="2"/>
        <v>0</v>
      </c>
    </row>
    <row r="10" spans="19:54" s="34" customFormat="1" ht="48" customHeight="1" thickBot="1">
      <c r="S10" s="12">
        <v>4</v>
      </c>
      <c r="T10" s="243" t="s">
        <v>5</v>
      </c>
      <c r="U10" s="35"/>
      <c r="V10" s="140"/>
      <c r="W10" s="140"/>
      <c r="X10" s="36"/>
      <c r="Y10" s="36"/>
      <c r="Z10" s="37">
        <f t="shared" si="0"/>
        <v>0</v>
      </c>
      <c r="AA10" s="38"/>
      <c r="AB10" s="39"/>
      <c r="AC10" s="40"/>
      <c r="AD10" s="101"/>
      <c r="AE10" s="41"/>
      <c r="AF10" s="42"/>
      <c r="AG10" s="42"/>
      <c r="AH10" s="42"/>
      <c r="AI10" s="42"/>
      <c r="AJ10" s="43"/>
      <c r="AK10" s="44"/>
      <c r="AL10" s="45"/>
      <c r="AM10" s="45"/>
      <c r="AN10" s="45"/>
      <c r="AO10" s="45"/>
      <c r="AP10" s="45"/>
      <c r="AQ10" s="45"/>
      <c r="AR10" s="46"/>
      <c r="AS10" s="47"/>
      <c r="AT10" s="35"/>
      <c r="AU10" s="35"/>
      <c r="AV10" s="35"/>
      <c r="AW10" s="48"/>
      <c r="AX10" s="49">
        <f t="shared" si="1"/>
        <v>0</v>
      </c>
      <c r="AY10" s="51">
        <v>0</v>
      </c>
      <c r="AZ10" s="52">
        <v>0</v>
      </c>
      <c r="BA10" s="51">
        <v>0</v>
      </c>
      <c r="BB10" s="53">
        <f t="shared" si="2"/>
        <v>0</v>
      </c>
    </row>
    <row r="11" spans="19:54" s="34" customFormat="1" ht="48" customHeight="1" thickBot="1">
      <c r="S11" s="12">
        <v>5</v>
      </c>
      <c r="T11" s="243"/>
      <c r="U11" s="35"/>
      <c r="V11" s="140"/>
      <c r="W11" s="140"/>
      <c r="X11" s="36"/>
      <c r="Y11" s="120"/>
      <c r="Z11" s="37">
        <f t="shared" si="0"/>
        <v>0</v>
      </c>
      <c r="AA11" s="38"/>
      <c r="AB11" s="39"/>
      <c r="AC11" s="40"/>
      <c r="AD11" s="101"/>
      <c r="AE11" s="41"/>
      <c r="AF11" s="42"/>
      <c r="AG11" s="42"/>
      <c r="AH11" s="42"/>
      <c r="AI11" s="42"/>
      <c r="AJ11" s="43"/>
      <c r="AK11" s="44"/>
      <c r="AL11" s="45"/>
      <c r="AM11" s="45"/>
      <c r="AN11" s="45"/>
      <c r="AO11" s="45"/>
      <c r="AP11" s="45"/>
      <c r="AQ11" s="45"/>
      <c r="AR11" s="46"/>
      <c r="AS11" s="47"/>
      <c r="AT11" s="35"/>
      <c r="AU11" s="35"/>
      <c r="AV11" s="35"/>
      <c r="AW11" s="48"/>
      <c r="AX11" s="49">
        <f t="shared" si="1"/>
        <v>0</v>
      </c>
      <c r="AY11" s="50">
        <v>0</v>
      </c>
      <c r="AZ11" s="51">
        <v>0</v>
      </c>
      <c r="BA11" s="52">
        <v>0</v>
      </c>
      <c r="BB11" s="53">
        <f t="shared" si="2"/>
        <v>0</v>
      </c>
    </row>
    <row r="12" spans="19:54" s="34" customFormat="1" ht="48" customHeight="1" thickBot="1">
      <c r="S12" s="12">
        <v>10</v>
      </c>
      <c r="T12" s="243"/>
      <c r="U12" s="13"/>
      <c r="V12" s="14"/>
      <c r="W12" s="14"/>
      <c r="X12" s="54"/>
      <c r="Y12" s="54"/>
      <c r="Z12" s="55">
        <f t="shared" si="0"/>
        <v>0</v>
      </c>
      <c r="AA12" s="19"/>
      <c r="AB12" s="20"/>
      <c r="AC12" s="21"/>
      <c r="AD12" s="100"/>
      <c r="AE12" s="22"/>
      <c r="AF12" s="23"/>
      <c r="AG12" s="23"/>
      <c r="AH12" s="23"/>
      <c r="AI12" s="23"/>
      <c r="AJ12" s="24"/>
      <c r="AK12" s="25"/>
      <c r="AL12" s="26"/>
      <c r="AM12" s="26"/>
      <c r="AN12" s="26"/>
      <c r="AO12" s="26"/>
      <c r="AP12" s="26"/>
      <c r="AQ12" s="26"/>
      <c r="AR12" s="27"/>
      <c r="AS12" s="28"/>
      <c r="AT12" s="13"/>
      <c r="AU12" s="13"/>
      <c r="AV12" s="13"/>
      <c r="AW12" s="29"/>
      <c r="AX12" s="30">
        <f t="shared" si="1"/>
        <v>0</v>
      </c>
      <c r="AY12" s="31">
        <v>0</v>
      </c>
      <c r="AZ12" s="32">
        <v>0</v>
      </c>
      <c r="BA12" s="31">
        <v>0</v>
      </c>
      <c r="BB12" s="56">
        <f t="shared" si="2"/>
        <v>0</v>
      </c>
    </row>
    <row r="13" spans="19:54" s="34" customFormat="1" ht="48" customHeight="1" thickBot="1">
      <c r="S13" s="12">
        <v>11</v>
      </c>
      <c r="T13" s="244" t="s">
        <v>65</v>
      </c>
      <c r="U13" s="35"/>
      <c r="V13" s="140"/>
      <c r="W13" s="140"/>
      <c r="X13" s="36"/>
      <c r="Y13" s="36"/>
      <c r="Z13" s="37">
        <f t="shared" si="0"/>
        <v>0</v>
      </c>
      <c r="AA13" s="38"/>
      <c r="AB13" s="39"/>
      <c r="AC13" s="40"/>
      <c r="AD13" s="101"/>
      <c r="AE13" s="41"/>
      <c r="AF13" s="42"/>
      <c r="AG13" s="42"/>
      <c r="AH13" s="42"/>
      <c r="AI13" s="42"/>
      <c r="AJ13" s="43"/>
      <c r="AK13" s="44"/>
      <c r="AL13" s="45"/>
      <c r="AM13" s="45"/>
      <c r="AN13" s="45"/>
      <c r="AO13" s="45"/>
      <c r="AP13" s="45"/>
      <c r="AQ13" s="45"/>
      <c r="AR13" s="46"/>
      <c r="AS13" s="47"/>
      <c r="AT13" s="35"/>
      <c r="AU13" s="35"/>
      <c r="AV13" s="35"/>
      <c r="AW13" s="48"/>
      <c r="AX13" s="49">
        <f t="shared" si="1"/>
        <v>0</v>
      </c>
      <c r="AY13" s="50">
        <v>0</v>
      </c>
      <c r="AZ13" s="51">
        <v>0</v>
      </c>
      <c r="BA13" s="52">
        <v>0</v>
      </c>
      <c r="BB13" s="57">
        <f t="shared" si="2"/>
        <v>0</v>
      </c>
    </row>
    <row r="14" spans="19:54" s="34" customFormat="1" ht="48" customHeight="1" thickBot="1">
      <c r="S14" s="12">
        <v>12</v>
      </c>
      <c r="T14" s="244"/>
      <c r="U14" s="35"/>
      <c r="V14" s="140"/>
      <c r="W14" s="140"/>
      <c r="X14" s="36"/>
      <c r="Y14" s="36"/>
      <c r="Z14" s="37">
        <f t="shared" si="0"/>
        <v>0</v>
      </c>
      <c r="AA14" s="38"/>
      <c r="AB14" s="39"/>
      <c r="AC14" s="147"/>
      <c r="AD14" s="101"/>
      <c r="AE14" s="41"/>
      <c r="AF14" s="42"/>
      <c r="AG14" s="42"/>
      <c r="AH14" s="42"/>
      <c r="AI14" s="42"/>
      <c r="AJ14" s="43"/>
      <c r="AK14" s="44"/>
      <c r="AL14" s="45"/>
      <c r="AM14" s="45"/>
      <c r="AN14" s="45"/>
      <c r="AO14" s="45"/>
      <c r="AP14" s="45"/>
      <c r="AQ14" s="45"/>
      <c r="AR14" s="46"/>
      <c r="AS14" s="47"/>
      <c r="AT14" s="35"/>
      <c r="AU14" s="35"/>
      <c r="AV14" s="35"/>
      <c r="AW14" s="48"/>
      <c r="AX14" s="49">
        <f t="shared" si="1"/>
        <v>0</v>
      </c>
      <c r="AY14" s="51">
        <v>0</v>
      </c>
      <c r="AZ14" s="52">
        <v>0</v>
      </c>
      <c r="BA14" s="51">
        <v>0</v>
      </c>
      <c r="BB14" s="57">
        <f t="shared" si="2"/>
        <v>0</v>
      </c>
    </row>
    <row r="15" spans="19:54" s="34" customFormat="1" ht="48" customHeight="1" thickBot="1">
      <c r="S15" s="12">
        <v>13</v>
      </c>
      <c r="T15" s="245"/>
      <c r="U15" s="58"/>
      <c r="V15" s="59"/>
      <c r="W15" s="59"/>
      <c r="X15" s="60"/>
      <c r="Y15" s="60"/>
      <c r="Z15" s="61">
        <f t="shared" si="0"/>
        <v>0</v>
      </c>
      <c r="AA15" s="62"/>
      <c r="AB15" s="63"/>
      <c r="AC15" s="64"/>
      <c r="AD15" s="102"/>
      <c r="AE15" s="65"/>
      <c r="AF15" s="66"/>
      <c r="AG15" s="67"/>
      <c r="AH15" s="67"/>
      <c r="AI15" s="67"/>
      <c r="AJ15" s="66"/>
      <c r="AK15" s="68"/>
      <c r="AL15" s="69"/>
      <c r="AM15" s="69"/>
      <c r="AN15" s="69"/>
      <c r="AO15" s="69"/>
      <c r="AP15" s="69"/>
      <c r="AQ15" s="69"/>
      <c r="AR15" s="70"/>
      <c r="AS15" s="71"/>
      <c r="AT15" s="35"/>
      <c r="AU15" s="35"/>
      <c r="AV15" s="35"/>
      <c r="AW15" s="48"/>
      <c r="AX15" s="49">
        <f t="shared" si="1"/>
        <v>0</v>
      </c>
      <c r="AY15" s="50">
        <v>0</v>
      </c>
      <c r="AZ15" s="51">
        <v>0</v>
      </c>
      <c r="BA15" s="52">
        <v>0</v>
      </c>
      <c r="BB15" s="57">
        <f t="shared" si="2"/>
        <v>0</v>
      </c>
    </row>
    <row r="16" spans="19:54" s="72" customFormat="1" ht="50.1" customHeight="1">
      <c r="S16" s="254" t="s">
        <v>42</v>
      </c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5" t="s">
        <v>53</v>
      </c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6" t="s">
        <v>43</v>
      </c>
      <c r="AU16" s="257"/>
      <c r="AV16" s="257"/>
      <c r="AW16" s="257"/>
      <c r="AX16" s="257"/>
      <c r="AY16" s="257"/>
      <c r="AZ16" s="257"/>
      <c r="BA16" s="257"/>
      <c r="BB16" s="258"/>
    </row>
    <row r="17" spans="18:62" s="72" customFormat="1" ht="60" customHeight="1">
      <c r="S17" s="73" t="s">
        <v>15</v>
      </c>
      <c r="T17" s="300" t="s">
        <v>44</v>
      </c>
      <c r="U17" s="301"/>
      <c r="V17" s="302" t="s">
        <v>45</v>
      </c>
      <c r="W17" s="303"/>
      <c r="X17" s="74" t="s">
        <v>46</v>
      </c>
      <c r="Y17" s="75" t="s">
        <v>67</v>
      </c>
      <c r="Z17" s="304" t="s">
        <v>47</v>
      </c>
      <c r="AA17" s="304"/>
      <c r="AB17" s="304"/>
      <c r="AC17" s="304"/>
      <c r="AD17" s="304"/>
      <c r="AE17" s="304"/>
      <c r="AF17" s="304"/>
      <c r="AG17" s="305" t="s">
        <v>48</v>
      </c>
      <c r="AH17" s="306"/>
      <c r="AI17" s="307" t="s">
        <v>49</v>
      </c>
      <c r="AJ17" s="307"/>
      <c r="AK17" s="92"/>
      <c r="AL17" s="308" t="s">
        <v>68</v>
      </c>
      <c r="AM17" s="309"/>
      <c r="AN17" s="310"/>
      <c r="AO17" s="288" t="s">
        <v>50</v>
      </c>
      <c r="AP17" s="289"/>
      <c r="AQ17" s="289"/>
      <c r="AR17" s="289"/>
      <c r="AS17" s="289"/>
      <c r="AT17" s="76" t="s">
        <v>51</v>
      </c>
      <c r="AU17" s="290" t="s">
        <v>33</v>
      </c>
      <c r="AV17" s="291"/>
      <c r="AW17" s="77" t="s">
        <v>34</v>
      </c>
      <c r="AX17" s="77" t="s">
        <v>66</v>
      </c>
      <c r="AY17" s="77" t="s">
        <v>35</v>
      </c>
      <c r="AZ17" s="77" t="s">
        <v>36</v>
      </c>
      <c r="BA17" s="292" t="s">
        <v>52</v>
      </c>
      <c r="BB17" s="293"/>
    </row>
    <row r="18" spans="18:62" ht="60.75" customHeight="1">
      <c r="S18" s="78">
        <v>1</v>
      </c>
      <c r="T18" s="294"/>
      <c r="U18" s="295"/>
      <c r="V18" s="280"/>
      <c r="W18" s="281"/>
      <c r="X18" s="79" t="str">
        <f>TEXT(MOD(V18-T18,1),"h:mm")</f>
        <v>0:00</v>
      </c>
      <c r="Y18" s="80"/>
      <c r="Z18" s="282"/>
      <c r="AA18" s="282"/>
      <c r="AB18" s="282"/>
      <c r="AC18" s="282"/>
      <c r="AD18" s="282"/>
      <c r="AE18" s="282"/>
      <c r="AF18" s="282"/>
      <c r="AG18" s="296">
        <f>SUM(AX7:AX9)</f>
        <v>0</v>
      </c>
      <c r="AH18" s="297"/>
      <c r="AI18" s="298">
        <f>SUM(AX10:AX12)</f>
        <v>0</v>
      </c>
      <c r="AJ18" s="298"/>
      <c r="AK18" s="93"/>
      <c r="AL18" s="298">
        <f>SUM(AX13:AX15)</f>
        <v>0</v>
      </c>
      <c r="AM18" s="298"/>
      <c r="AN18" s="298"/>
      <c r="AO18" s="299">
        <f>SUM(AG18:AN18)</f>
        <v>0</v>
      </c>
      <c r="AP18" s="299"/>
      <c r="AQ18" s="299"/>
      <c r="AR18" s="299"/>
      <c r="AS18" s="299"/>
      <c r="AT18" s="81" t="s">
        <v>1</v>
      </c>
      <c r="AU18" s="276">
        <f>SUM(AS7:AS9)</f>
        <v>0</v>
      </c>
      <c r="AV18" s="277"/>
      <c r="AW18" s="82">
        <f>SUM(AT7:AT9)</f>
        <v>0</v>
      </c>
      <c r="AX18" s="82">
        <f>SUM(AV7:AV9)</f>
        <v>0</v>
      </c>
      <c r="AY18" s="82">
        <f>SUM(AU7:AU9)</f>
        <v>0</v>
      </c>
      <c r="AZ18" s="82">
        <f>SUM(AW7:AW9)</f>
        <v>0</v>
      </c>
      <c r="BA18" s="276">
        <f>SUM(AU18:AZ18)</f>
        <v>0</v>
      </c>
      <c r="BB18" s="277"/>
    </row>
    <row r="19" spans="18:62" ht="60.75" customHeight="1">
      <c r="S19" s="78">
        <v>2</v>
      </c>
      <c r="T19" s="278"/>
      <c r="U19" s="279"/>
      <c r="V19" s="280"/>
      <c r="W19" s="281"/>
      <c r="X19" s="79" t="str">
        <f>TEXT(MOD(V19-T19,1),"h:mm")</f>
        <v>0:00</v>
      </c>
      <c r="Y19" s="80"/>
      <c r="Z19" s="282"/>
      <c r="AA19" s="282"/>
      <c r="AB19" s="282"/>
      <c r="AC19" s="282"/>
      <c r="AD19" s="282"/>
      <c r="AE19" s="282"/>
      <c r="AF19" s="282"/>
      <c r="AG19" s="283" t="s">
        <v>41</v>
      </c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5"/>
      <c r="AT19" s="83" t="s">
        <v>5</v>
      </c>
      <c r="AU19" s="286">
        <f>SUM(AS10:AS12)</f>
        <v>0</v>
      </c>
      <c r="AV19" s="287"/>
      <c r="AW19" s="84">
        <f>SUM(AT10:AT12)</f>
        <v>0</v>
      </c>
      <c r="AX19" s="84">
        <f>SUM(AV10:AV12)</f>
        <v>0</v>
      </c>
      <c r="AY19" s="84">
        <f>SUM(AU10:AU12)</f>
        <v>0</v>
      </c>
      <c r="AZ19" s="84">
        <f>SUM(AW10:AW12)</f>
        <v>0</v>
      </c>
      <c r="BA19" s="286">
        <f>SUM(AU19:AZ19)</f>
        <v>0</v>
      </c>
      <c r="BB19" s="287"/>
    </row>
    <row r="20" spans="18:62" ht="60.75" customHeight="1">
      <c r="S20" s="78">
        <v>3</v>
      </c>
      <c r="T20" s="278"/>
      <c r="U20" s="279"/>
      <c r="V20" s="280"/>
      <c r="W20" s="281"/>
      <c r="X20" s="79" t="str">
        <f>TEXT(MOD(V20-T20,1),"h:mm")</f>
        <v>0:00</v>
      </c>
      <c r="Y20" s="80"/>
      <c r="Z20" s="327"/>
      <c r="AA20" s="327"/>
      <c r="AB20" s="327"/>
      <c r="AC20" s="327"/>
      <c r="AD20" s="327"/>
      <c r="AE20" s="327"/>
      <c r="AF20" s="327"/>
      <c r="AG20" s="311">
        <f>SUM(BB7:BB9)</f>
        <v>0</v>
      </c>
      <c r="AH20" s="328"/>
      <c r="AI20" s="311">
        <f>SUM(BB10:BB12)</f>
        <v>0</v>
      </c>
      <c r="AJ20" s="328"/>
      <c r="AK20" s="94"/>
      <c r="AL20" s="311">
        <f>SUM(BB13:BB15)</f>
        <v>0</v>
      </c>
      <c r="AM20" s="329"/>
      <c r="AN20" s="328"/>
      <c r="AO20" s="311">
        <f>SUM(AG20:AN20)</f>
        <v>0</v>
      </c>
      <c r="AP20" s="312"/>
      <c r="AQ20" s="312"/>
      <c r="AR20" s="312"/>
      <c r="AS20" s="313"/>
      <c r="AT20" s="91" t="s">
        <v>65</v>
      </c>
      <c r="AU20" s="314">
        <f>SUM(AS13:AS15)</f>
        <v>0</v>
      </c>
      <c r="AV20" s="315"/>
      <c r="AW20" s="99">
        <f>SUM(AT13:AT15)</f>
        <v>0</v>
      </c>
      <c r="AX20" s="99">
        <f>SUM(AV13:AV15)</f>
        <v>0</v>
      </c>
      <c r="AY20" s="99">
        <f>SUM(AU13:AU15)</f>
        <v>0</v>
      </c>
      <c r="AZ20" s="99">
        <f>SUM(AW13:AW15)</f>
        <v>0</v>
      </c>
      <c r="BA20" s="316">
        <f>SUM(AU20:AZ20)</f>
        <v>0</v>
      </c>
      <c r="BB20" s="317"/>
    </row>
    <row r="21" spans="18:62" ht="60.75" customHeight="1">
      <c r="S21" s="78">
        <v>4</v>
      </c>
      <c r="T21" s="278"/>
      <c r="U21" s="279"/>
      <c r="V21" s="280"/>
      <c r="W21" s="281"/>
      <c r="X21" s="79" t="str">
        <f>TEXT(MOD(V21-T21,1),"h:mm")</f>
        <v>0:00</v>
      </c>
      <c r="Y21" s="80"/>
      <c r="Z21" s="318"/>
      <c r="AA21" s="318"/>
      <c r="AB21" s="318"/>
      <c r="AC21" s="318"/>
      <c r="AD21" s="318"/>
      <c r="AE21" s="318"/>
      <c r="AF21" s="318"/>
      <c r="AG21" s="319" t="s">
        <v>54</v>
      </c>
      <c r="AH21" s="320"/>
      <c r="AI21" s="320"/>
      <c r="AJ21" s="320"/>
      <c r="AK21" s="320"/>
      <c r="AL21" s="320"/>
      <c r="AM21" s="320"/>
      <c r="AN21" s="320"/>
      <c r="AO21" s="320"/>
      <c r="AP21" s="320"/>
      <c r="AQ21" s="320"/>
      <c r="AR21" s="320"/>
      <c r="AS21" s="321"/>
      <c r="AT21" s="322" t="s">
        <v>55</v>
      </c>
      <c r="AU21" s="323"/>
      <c r="AV21" s="324"/>
      <c r="AW21" s="325">
        <v>1680</v>
      </c>
      <c r="AX21" s="326"/>
      <c r="AY21" s="322" t="s">
        <v>56</v>
      </c>
      <c r="AZ21" s="324"/>
      <c r="BA21" s="330">
        <v>1628</v>
      </c>
      <c r="BB21" s="331"/>
    </row>
    <row r="22" spans="18:62" ht="54" customHeight="1">
      <c r="S22" s="78">
        <v>5</v>
      </c>
      <c r="T22" s="278"/>
      <c r="U22" s="279"/>
      <c r="V22" s="280"/>
      <c r="W22" s="281"/>
      <c r="X22" s="79" t="str">
        <f>TEXT(MOD(V22-T22,1),"h:mm")</f>
        <v>0:00</v>
      </c>
      <c r="Y22" s="80"/>
      <c r="Z22" s="318"/>
      <c r="AA22" s="318"/>
      <c r="AB22" s="318"/>
      <c r="AC22" s="318"/>
      <c r="AD22" s="318"/>
      <c r="AE22" s="318"/>
      <c r="AF22" s="318"/>
      <c r="AG22" s="357">
        <f>SUM(AY7:BA9)</f>
        <v>0</v>
      </c>
      <c r="AH22" s="357"/>
      <c r="AI22" s="298">
        <f>SUM(AY10:BA12)</f>
        <v>0</v>
      </c>
      <c r="AJ22" s="298"/>
      <c r="AK22" s="95"/>
      <c r="AL22" s="358">
        <f>SUM(AY13:BA15)</f>
        <v>0</v>
      </c>
      <c r="AM22" s="358"/>
      <c r="AN22" s="359"/>
      <c r="AO22" s="360">
        <f>SUM(AG22:AN22)</f>
        <v>0</v>
      </c>
      <c r="AP22" s="361"/>
      <c r="AQ22" s="361"/>
      <c r="AR22" s="361"/>
      <c r="AS22" s="362"/>
      <c r="AT22" s="98" t="s">
        <v>69</v>
      </c>
      <c r="AU22" s="363" t="s">
        <v>48</v>
      </c>
      <c r="AV22" s="364"/>
      <c r="AW22" s="365" t="s">
        <v>49</v>
      </c>
      <c r="AX22" s="366"/>
      <c r="AY22" s="332" t="s">
        <v>68</v>
      </c>
      <c r="AZ22" s="333"/>
      <c r="BA22" s="334" t="s">
        <v>57</v>
      </c>
      <c r="BB22" s="335"/>
    </row>
    <row r="23" spans="18:62" ht="59.25" customHeight="1">
      <c r="S23" s="336" t="s">
        <v>61</v>
      </c>
      <c r="T23" s="337"/>
      <c r="U23" s="337"/>
      <c r="V23" s="337"/>
      <c r="W23" s="338"/>
      <c r="X23" s="85">
        <f>SUM(X18+X19+X20+X21+X22)</f>
        <v>0</v>
      </c>
      <c r="Y23" s="141" t="s">
        <v>62</v>
      </c>
      <c r="Z23" s="86"/>
      <c r="AA23" s="87"/>
      <c r="AB23" s="87"/>
      <c r="AC23" s="339" t="s">
        <v>63</v>
      </c>
      <c r="AD23" s="339"/>
      <c r="AE23" s="340"/>
      <c r="AF23" s="341"/>
      <c r="AG23" s="342" t="s">
        <v>22</v>
      </c>
      <c r="AH23" s="343"/>
      <c r="AI23" s="344"/>
      <c r="AJ23" s="345" t="s">
        <v>48</v>
      </c>
      <c r="AK23" s="346"/>
      <c r="AL23" s="346"/>
      <c r="AM23" s="347"/>
      <c r="AN23" s="348" t="s">
        <v>49</v>
      </c>
      <c r="AO23" s="348"/>
      <c r="AP23" s="348"/>
      <c r="AQ23" s="349" t="s">
        <v>68</v>
      </c>
      <c r="AR23" s="350"/>
      <c r="AS23" s="351"/>
      <c r="AT23" s="96" t="s">
        <v>60</v>
      </c>
      <c r="AU23" s="352">
        <f>SUM(AQ7:AQ9)</f>
        <v>0</v>
      </c>
      <c r="AV23" s="353"/>
      <c r="AW23" s="352">
        <f>SUM(AQ10:AQ12)</f>
        <v>0</v>
      </c>
      <c r="AX23" s="354"/>
      <c r="AY23" s="352">
        <f>SUM(AQ13:AQ15)</f>
        <v>0</v>
      </c>
      <c r="AZ23" s="353"/>
      <c r="BA23" s="355">
        <f>SUM(AU23:AZ23)</f>
        <v>0</v>
      </c>
      <c r="BB23" s="356"/>
    </row>
    <row r="24" spans="18:62" ht="57" customHeight="1">
      <c r="S24" s="367"/>
      <c r="T24" s="368"/>
      <c r="U24" s="368"/>
      <c r="V24" s="368"/>
      <c r="W24" s="369"/>
      <c r="X24" s="373" t="s">
        <v>73</v>
      </c>
      <c r="Y24" s="104" t="s">
        <v>70</v>
      </c>
      <c r="Z24" s="105" t="s">
        <v>71</v>
      </c>
      <c r="AA24" s="103"/>
      <c r="AB24" s="103"/>
      <c r="AC24" s="375" t="s">
        <v>72</v>
      </c>
      <c r="AD24" s="376"/>
      <c r="AE24" s="377" t="s">
        <v>57</v>
      </c>
      <c r="AF24" s="378"/>
      <c r="AG24" s="379" t="s">
        <v>58</v>
      </c>
      <c r="AH24" s="380"/>
      <c r="AI24" s="381"/>
      <c r="AJ24" s="382">
        <f>AVERAGE(Z7:Z8)</f>
        <v>0</v>
      </c>
      <c r="AK24" s="383"/>
      <c r="AL24" s="383"/>
      <c r="AM24" s="383"/>
      <c r="AN24" s="382">
        <f>AVERAGE(Z10)</f>
        <v>0</v>
      </c>
      <c r="AO24" s="383"/>
      <c r="AP24" s="383"/>
      <c r="AQ24" s="382">
        <f>AVERAGE(Z13:Z14)</f>
        <v>0</v>
      </c>
      <c r="AR24" s="383"/>
      <c r="AS24" s="383"/>
      <c r="AT24" s="97" t="s">
        <v>64</v>
      </c>
      <c r="AU24" s="387">
        <f>SUM(AL7:AP9)</f>
        <v>0</v>
      </c>
      <c r="AV24" s="388"/>
      <c r="AW24" s="387">
        <f>SUM(AL10:AP12)</f>
        <v>0</v>
      </c>
      <c r="AX24" s="388"/>
      <c r="AY24" s="387">
        <f>SUM(AL13:AP15)</f>
        <v>0</v>
      </c>
      <c r="AZ24" s="388"/>
      <c r="BA24" s="389">
        <f>SUM(AU24:AZ24)</f>
        <v>0</v>
      </c>
      <c r="BB24" s="390"/>
    </row>
    <row r="25" spans="18:62" ht="52.5" customHeight="1">
      <c r="S25" s="370"/>
      <c r="T25" s="371"/>
      <c r="U25" s="371"/>
      <c r="V25" s="371"/>
      <c r="W25" s="372"/>
      <c r="X25" s="374"/>
      <c r="Y25" s="106">
        <f>SUM(AD7:AD9)</f>
        <v>0</v>
      </c>
      <c r="Z25" s="106">
        <f>SUM(AD10:AD11)</f>
        <v>0</v>
      </c>
      <c r="AA25" s="107"/>
      <c r="AB25" s="107"/>
      <c r="AC25" s="391">
        <f>SUM(AD13:AD15)</f>
        <v>0</v>
      </c>
      <c r="AD25" s="392"/>
      <c r="AE25" s="393">
        <f>SUM(Y25:AD25)</f>
        <v>0</v>
      </c>
      <c r="AF25" s="394"/>
      <c r="AG25" s="379" t="s">
        <v>59</v>
      </c>
      <c r="AH25" s="380"/>
      <c r="AI25" s="381"/>
      <c r="AJ25" s="382">
        <f>SUM(Z7:Z9)</f>
        <v>0</v>
      </c>
      <c r="AK25" s="383"/>
      <c r="AL25" s="383"/>
      <c r="AM25" s="383"/>
      <c r="AN25" s="382">
        <f>SUM(Z10:Z12)</f>
        <v>0</v>
      </c>
      <c r="AO25" s="383"/>
      <c r="AP25" s="383"/>
      <c r="AQ25" s="382">
        <f>SUM(Z13:Z15)</f>
        <v>0</v>
      </c>
      <c r="AR25" s="383"/>
      <c r="AS25" s="383"/>
      <c r="AT25" s="384"/>
      <c r="AU25" s="385"/>
      <c r="AV25" s="385"/>
      <c r="AW25" s="385"/>
      <c r="AX25" s="385"/>
      <c r="AY25" s="385"/>
      <c r="AZ25" s="385"/>
      <c r="BA25" s="385"/>
      <c r="BB25" s="386"/>
    </row>
    <row r="26" spans="18:62" ht="60.75" customHeight="1"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8:62" ht="30" customHeight="1"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8:62" ht="30" customHeight="1"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T28" s="4"/>
      <c r="AU28" s="4"/>
      <c r="AV28" s="4"/>
      <c r="AW28" s="4"/>
      <c r="AX28" s="4"/>
      <c r="AY28" s="4"/>
      <c r="AZ28" s="4"/>
      <c r="BA28" s="4"/>
    </row>
    <row r="29" spans="18:62" ht="30" customHeight="1"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T29" s="4"/>
      <c r="AU29" s="4"/>
      <c r="AV29" s="4"/>
      <c r="AW29" s="4"/>
      <c r="AX29" s="4"/>
      <c r="AY29" s="4"/>
      <c r="AZ29" s="4"/>
      <c r="BA29" s="4"/>
    </row>
    <row r="30" spans="18:62" ht="30" customHeight="1">
      <c r="R30" s="3"/>
      <c r="S30" s="3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T30" s="4"/>
      <c r="AU30" s="4"/>
      <c r="AV30" s="4"/>
      <c r="AW30" s="4"/>
      <c r="AX30" s="4"/>
      <c r="AY30" s="4"/>
      <c r="AZ30" s="4"/>
      <c r="BA30" s="4"/>
    </row>
    <row r="31" spans="18:62" ht="30" customHeight="1">
      <c r="R31" s="3"/>
      <c r="S31" s="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T31" s="4"/>
      <c r="AU31" s="4"/>
      <c r="AV31" s="4"/>
      <c r="AW31" s="4"/>
      <c r="AX31" s="4"/>
      <c r="AY31" s="4"/>
      <c r="AZ31" s="4"/>
      <c r="BA31" s="4"/>
    </row>
    <row r="32" spans="18:62" ht="15" customHeight="1">
      <c r="S32" s="3"/>
      <c r="BJ32" s="4">
        <v>8</v>
      </c>
    </row>
  </sheetData>
  <mergeCells count="145">
    <mergeCell ref="S24:W25"/>
    <mergeCell ref="X24:X25"/>
    <mergeCell ref="AC24:AD24"/>
    <mergeCell ref="AE24:AF24"/>
    <mergeCell ref="AG24:AI24"/>
    <mergeCell ref="AJ24:AM24"/>
    <mergeCell ref="AN24:AP24"/>
    <mergeCell ref="AQ25:AS25"/>
    <mergeCell ref="AT25:BB25"/>
    <mergeCell ref="AQ24:AS24"/>
    <mergeCell ref="AU24:AV24"/>
    <mergeCell ref="AW24:AX24"/>
    <mergeCell ref="AY24:AZ24"/>
    <mergeCell ref="BA24:BB24"/>
    <mergeCell ref="AC25:AD25"/>
    <mergeCell ref="AE25:AF25"/>
    <mergeCell ref="AG25:AI25"/>
    <mergeCell ref="AJ25:AM25"/>
    <mergeCell ref="AN25:AP25"/>
    <mergeCell ref="AY22:AZ22"/>
    <mergeCell ref="BA22:BB22"/>
    <mergeCell ref="S23:W23"/>
    <mergeCell ref="AC23:AD23"/>
    <mergeCell ref="AE23:AF23"/>
    <mergeCell ref="AG23:AI23"/>
    <mergeCell ref="AJ23:AM23"/>
    <mergeCell ref="AN23:AP23"/>
    <mergeCell ref="AQ23:AS23"/>
    <mergeCell ref="AU23:AV23"/>
    <mergeCell ref="AW23:AX23"/>
    <mergeCell ref="AY23:AZ23"/>
    <mergeCell ref="BA23:BB23"/>
    <mergeCell ref="T22:U22"/>
    <mergeCell ref="V22:W22"/>
    <mergeCell ref="Z22:AF22"/>
    <mergeCell ref="AG22:AH22"/>
    <mergeCell ref="AI22:AJ22"/>
    <mergeCell ref="AL22:AN22"/>
    <mergeCell ref="AO22:AS22"/>
    <mergeCell ref="AU22:AV22"/>
    <mergeCell ref="AW22:AX22"/>
    <mergeCell ref="AO20:AS20"/>
    <mergeCell ref="AU20:AV20"/>
    <mergeCell ref="BA20:BB20"/>
    <mergeCell ref="T21:U21"/>
    <mergeCell ref="V21:W21"/>
    <mergeCell ref="Z21:AF21"/>
    <mergeCell ref="AG21:AS21"/>
    <mergeCell ref="AT21:AV21"/>
    <mergeCell ref="AW21:AX21"/>
    <mergeCell ref="AY21:AZ21"/>
    <mergeCell ref="T20:U20"/>
    <mergeCell ref="V20:W20"/>
    <mergeCell ref="Z20:AF20"/>
    <mergeCell ref="AG20:AH20"/>
    <mergeCell ref="AI20:AJ20"/>
    <mergeCell ref="AL20:AN20"/>
    <mergeCell ref="BA21:BB21"/>
    <mergeCell ref="AU18:AV18"/>
    <mergeCell ref="BA18:BB18"/>
    <mergeCell ref="T19:U19"/>
    <mergeCell ref="V19:W19"/>
    <mergeCell ref="Z19:AF19"/>
    <mergeCell ref="AG19:AS19"/>
    <mergeCell ref="AU19:AV19"/>
    <mergeCell ref="BA19:BB19"/>
    <mergeCell ref="AO17:AS17"/>
    <mergeCell ref="AU17:AV17"/>
    <mergeCell ref="BA17:BB17"/>
    <mergeCell ref="T18:U18"/>
    <mergeCell ref="V18:W18"/>
    <mergeCell ref="Z18:AF18"/>
    <mergeCell ref="AG18:AH18"/>
    <mergeCell ref="AI18:AJ18"/>
    <mergeCell ref="AL18:AN18"/>
    <mergeCell ref="AO18:AS18"/>
    <mergeCell ref="T17:U17"/>
    <mergeCell ref="V17:W17"/>
    <mergeCell ref="Z17:AF17"/>
    <mergeCell ref="AG17:AH17"/>
    <mergeCell ref="AI17:AJ17"/>
    <mergeCell ref="AL17:AN17"/>
    <mergeCell ref="S16:AF16"/>
    <mergeCell ref="AG16:AS16"/>
    <mergeCell ref="AT16:BB16"/>
    <mergeCell ref="AU5:AU6"/>
    <mergeCell ref="AV5:AV6"/>
    <mergeCell ref="AW5:AW6"/>
    <mergeCell ref="AX5:AX6"/>
    <mergeCell ref="AY5:AY6"/>
    <mergeCell ref="AZ5:AZ6"/>
    <mergeCell ref="AH5:AH6"/>
    <mergeCell ref="AI5:AI6"/>
    <mergeCell ref="AJ5:AJ6"/>
    <mergeCell ref="AK5:AR5"/>
    <mergeCell ref="AS5:AS6"/>
    <mergeCell ref="AT5:AT6"/>
    <mergeCell ref="AB5:AB6"/>
    <mergeCell ref="AC5:AC6"/>
    <mergeCell ref="AD5:AD6"/>
    <mergeCell ref="AE5:AE6"/>
    <mergeCell ref="S4:Z4"/>
    <mergeCell ref="AA4:AB4"/>
    <mergeCell ref="AC4:AD4"/>
    <mergeCell ref="AE4:AJ4"/>
    <mergeCell ref="AL4:AQ4"/>
    <mergeCell ref="AS4:AW4"/>
    <mergeCell ref="T7:T9"/>
    <mergeCell ref="T10:T12"/>
    <mergeCell ref="T13:T15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Q1:AT1"/>
    <mergeCell ref="AU1:AW1"/>
    <mergeCell ref="AF5:AF6"/>
    <mergeCell ref="AG5:AG6"/>
    <mergeCell ref="AX1:BB3"/>
    <mergeCell ref="AC2:AE2"/>
    <mergeCell ref="AF2:AH2"/>
    <mergeCell ref="AI2:AL2"/>
    <mergeCell ref="AM2:AP2"/>
    <mergeCell ref="AQ2:AT2"/>
    <mergeCell ref="AU2:AW2"/>
    <mergeCell ref="AC3:AE3"/>
    <mergeCell ref="AQ3:AT3"/>
    <mergeCell ref="AU3:AW3"/>
    <mergeCell ref="AX4:BB4"/>
    <mergeCell ref="BA5:BA6"/>
    <mergeCell ref="BB5:BB6"/>
    <mergeCell ref="S1:W3"/>
    <mergeCell ref="X1:Y3"/>
    <mergeCell ref="AC1:AE1"/>
    <mergeCell ref="AF1:AH1"/>
    <mergeCell ref="AI1:AL1"/>
    <mergeCell ref="AM1:AP1"/>
    <mergeCell ref="AF3:AH3"/>
    <mergeCell ref="AI3:AL3"/>
    <mergeCell ref="AM3:AP3"/>
  </mergeCells>
  <conditionalFormatting sqref="Z7:Z15">
    <cfRule type="cellIs" dxfId="338" priority="3" operator="greaterThan">
      <formula>0.167361111111111</formula>
    </cfRule>
    <cfRule type="cellIs" dxfId="337" priority="4" operator="greaterThan">
      <formula>0.15625</formula>
    </cfRule>
  </conditionalFormatting>
  <conditionalFormatting sqref="AA7:AJ15">
    <cfRule type="cellIs" dxfId="336" priority="11" operator="between">
      <formula>1700</formula>
      <formula>1710</formula>
    </cfRule>
    <cfRule type="cellIs" dxfId="335" priority="12" operator="between">
      <formula>1691</formula>
      <formula>1700</formula>
    </cfRule>
  </conditionalFormatting>
  <conditionalFormatting sqref="AS7:AS15">
    <cfRule type="expression" dxfId="334" priority="13">
      <formula>IF(($AS7/$AX7)*1000&gt;$AY$1,1,0)</formula>
    </cfRule>
  </conditionalFormatting>
  <conditionalFormatting sqref="AT7:AW15">
    <cfRule type="cellIs" dxfId="333" priority="5" operator="greaterThan">
      <formula>10</formula>
    </cfRule>
  </conditionalFormatting>
  <conditionalFormatting sqref="AX7:AX15">
    <cfRule type="cellIs" dxfId="332" priority="2" operator="between">
      <formula>16000</formula>
      <formula>17200</formula>
    </cfRule>
    <cfRule type="cellIs" dxfId="331" priority="6" operator="lessThan">
      <formula>15800</formula>
    </cfRule>
    <cfRule type="cellIs" dxfId="330" priority="7" operator="greaterThan">
      <formula>18000</formula>
    </cfRule>
  </conditionalFormatting>
  <conditionalFormatting sqref="AZ7:BA15">
    <cfRule type="cellIs" dxfId="329" priority="10" operator="greaterThan">
      <formula>0</formula>
    </cfRule>
  </conditionalFormatting>
  <conditionalFormatting sqref="BB7:BB15">
    <cfRule type="cellIs" dxfId="328" priority="1" operator="between">
      <formula>16000</formula>
      <formula>17200</formula>
    </cfRule>
    <cfRule type="cellIs" dxfId="327" priority="8" operator="greaterThan">
      <formula>18000</formula>
    </cfRule>
    <cfRule type="cellIs" dxfId="326" priority="9" operator="lessThan">
      <formula>15800</formula>
    </cfRule>
  </conditionalFormatting>
  <printOptions horizontalCentered="1" verticalCentered="1"/>
  <pageMargins left="0" right="0" top="0" bottom="0.21" header="0" footer="0"/>
  <pageSetup paperSize="9" scale="42" orientation="landscape" cellComments="asDisplayed" r:id="rId1"/>
  <headerFooter differentFirst="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53157-B35E-4B68-AA7A-8D8E3EB5DD7A}">
  <sheetPr>
    <tabColor theme="5"/>
    <pageSetUpPr fitToPage="1"/>
  </sheetPr>
  <dimension ref="R1:BJ32"/>
  <sheetViews>
    <sheetView showGridLines="0" rightToLeft="1" topLeftCell="Q1" zoomScale="55" zoomScaleNormal="55" zoomScalePageLayoutView="40" workbookViewId="0">
      <selection activeCell="AO10" sqref="AO10"/>
    </sheetView>
  </sheetViews>
  <sheetFormatPr defaultColWidth="9.140625" defaultRowHeight="15"/>
  <cols>
    <col min="1" max="18" width="9.140625" style="4"/>
    <col min="19" max="19" width="5.7109375" style="4" customWidth="1"/>
    <col min="20" max="20" width="9.5703125" style="3" customWidth="1"/>
    <col min="21" max="21" width="10.7109375" style="3" customWidth="1"/>
    <col min="22" max="22" width="9.42578125" style="88" customWidth="1"/>
    <col min="23" max="23" width="8.85546875" style="88" customWidth="1"/>
    <col min="24" max="24" width="14.42578125" style="3" customWidth="1"/>
    <col min="25" max="25" width="14.7109375" style="3" customWidth="1"/>
    <col min="26" max="26" width="15.140625" style="88" customWidth="1"/>
    <col min="27" max="27" width="9.5703125" style="3" hidden="1" customWidth="1"/>
    <col min="28" max="28" width="10" style="3" hidden="1" customWidth="1"/>
    <col min="29" max="29" width="8.140625" style="3" customWidth="1"/>
    <col min="30" max="30" width="8.5703125" style="3" customWidth="1"/>
    <col min="31" max="31" width="12.42578125" style="3" customWidth="1"/>
    <col min="32" max="32" width="10.5703125" style="3" customWidth="1"/>
    <col min="33" max="33" width="9.5703125" style="3" customWidth="1"/>
    <col min="34" max="34" width="11.42578125" style="3" customWidth="1"/>
    <col min="35" max="35" width="9.42578125" style="3" customWidth="1"/>
    <col min="36" max="36" width="9.28515625" style="3" customWidth="1"/>
    <col min="37" max="37" width="6.7109375" style="3" hidden="1" customWidth="1"/>
    <col min="38" max="42" width="6.7109375" style="3" customWidth="1"/>
    <col min="43" max="43" width="8.140625" style="3" customWidth="1"/>
    <col min="44" max="44" width="6.7109375" style="3" hidden="1" customWidth="1"/>
    <col min="45" max="45" width="10.42578125" style="3" customWidth="1"/>
    <col min="46" max="46" width="8.7109375" style="3" customWidth="1"/>
    <col min="47" max="47" width="8.5703125" style="3" customWidth="1"/>
    <col min="48" max="48" width="8.7109375" style="3" customWidth="1"/>
    <col min="49" max="49" width="9.5703125" style="3" customWidth="1"/>
    <col min="50" max="50" width="12.42578125" style="88" customWidth="1"/>
    <col min="51" max="51" width="11.85546875" style="3" customWidth="1"/>
    <col min="52" max="52" width="11.5703125" style="3" customWidth="1"/>
    <col min="53" max="53" width="13.42578125" style="3" customWidth="1"/>
    <col min="54" max="54" width="13.5703125" style="4" customWidth="1"/>
    <col min="55" max="57" width="9.140625" style="4"/>
    <col min="58" max="58" width="25" style="4" customWidth="1"/>
    <col min="59" max="61" width="9.140625" style="4"/>
    <col min="62" max="62" width="23.5703125" style="4" customWidth="1"/>
    <col min="63" max="16384" width="9.140625" style="4"/>
  </cols>
  <sheetData>
    <row r="1" spans="19:54" ht="36.75" customHeight="1" thickBot="1">
      <c r="S1" s="180"/>
      <c r="T1" s="181"/>
      <c r="U1" s="181"/>
      <c r="V1" s="181"/>
      <c r="W1" s="181"/>
      <c r="X1" s="182" t="s">
        <v>0</v>
      </c>
      <c r="Y1" s="183"/>
      <c r="Z1" s="1" t="s">
        <v>1</v>
      </c>
      <c r="AA1" s="2"/>
      <c r="AC1" s="188" t="s">
        <v>2</v>
      </c>
      <c r="AD1" s="189"/>
      <c r="AE1" s="189"/>
      <c r="AF1" s="190" t="s">
        <v>75</v>
      </c>
      <c r="AG1" s="191"/>
      <c r="AH1" s="192"/>
      <c r="AI1" s="193" t="s">
        <v>3</v>
      </c>
      <c r="AJ1" s="194"/>
      <c r="AK1" s="194"/>
      <c r="AL1" s="195"/>
      <c r="AM1" s="196" t="s">
        <v>76</v>
      </c>
      <c r="AN1" s="197"/>
      <c r="AO1" s="197"/>
      <c r="AP1" s="198"/>
      <c r="AQ1" s="203" t="s">
        <v>4</v>
      </c>
      <c r="AR1" s="204"/>
      <c r="AS1" s="204"/>
      <c r="AT1" s="205"/>
      <c r="AU1" s="206" t="s">
        <v>74</v>
      </c>
      <c r="AV1" s="207"/>
      <c r="AW1" s="208"/>
      <c r="AX1" s="211" t="s">
        <v>117</v>
      </c>
      <c r="AY1" s="211"/>
      <c r="AZ1" s="211"/>
      <c r="BA1" s="211"/>
      <c r="BB1" s="211"/>
    </row>
    <row r="2" spans="19:54" ht="36.75" customHeight="1" thickBot="1">
      <c r="S2" s="180"/>
      <c r="T2" s="181"/>
      <c r="U2" s="181"/>
      <c r="V2" s="181"/>
      <c r="W2" s="181"/>
      <c r="X2" s="184"/>
      <c r="Y2" s="185"/>
      <c r="Z2" s="5" t="s">
        <v>5</v>
      </c>
      <c r="AA2" s="89"/>
      <c r="AC2" s="188" t="s">
        <v>2</v>
      </c>
      <c r="AD2" s="189"/>
      <c r="AE2" s="212"/>
      <c r="AF2" s="190" t="s">
        <v>78</v>
      </c>
      <c r="AG2" s="191"/>
      <c r="AH2" s="192"/>
      <c r="AI2" s="193" t="s">
        <v>3</v>
      </c>
      <c r="AJ2" s="194"/>
      <c r="AK2" s="194"/>
      <c r="AL2" s="195"/>
      <c r="AM2" s="202" t="s">
        <v>79</v>
      </c>
      <c r="AN2" s="202"/>
      <c r="AO2" s="202"/>
      <c r="AP2" s="202"/>
      <c r="AQ2" s="203" t="s">
        <v>4</v>
      </c>
      <c r="AR2" s="204"/>
      <c r="AS2" s="204"/>
      <c r="AT2" s="205"/>
      <c r="AU2" s="213" t="s">
        <v>77</v>
      </c>
      <c r="AV2" s="213"/>
      <c r="AW2" s="213"/>
      <c r="AX2" s="211"/>
      <c r="AY2" s="211"/>
      <c r="AZ2" s="211"/>
      <c r="BA2" s="211"/>
      <c r="BB2" s="211"/>
    </row>
    <row r="3" spans="19:54" ht="38.25" customHeight="1" thickBot="1">
      <c r="S3" s="181"/>
      <c r="T3" s="181"/>
      <c r="U3" s="181"/>
      <c r="V3" s="181"/>
      <c r="W3" s="181"/>
      <c r="X3" s="186"/>
      <c r="Y3" s="187"/>
      <c r="Z3" s="90" t="s">
        <v>65</v>
      </c>
      <c r="AA3" s="6"/>
      <c r="AC3" s="188" t="s">
        <v>6</v>
      </c>
      <c r="AD3" s="189"/>
      <c r="AE3" s="212"/>
      <c r="AF3" s="190" t="s">
        <v>81</v>
      </c>
      <c r="AG3" s="191"/>
      <c r="AH3" s="192"/>
      <c r="AI3" s="199" t="s">
        <v>7</v>
      </c>
      <c r="AJ3" s="200"/>
      <c r="AK3" s="200"/>
      <c r="AL3" s="201"/>
      <c r="AM3" s="202" t="s">
        <v>82</v>
      </c>
      <c r="AN3" s="202"/>
      <c r="AO3" s="202"/>
      <c r="AP3" s="202"/>
      <c r="AQ3" s="203" t="s">
        <v>4</v>
      </c>
      <c r="AR3" s="204"/>
      <c r="AS3" s="204"/>
      <c r="AT3" s="214"/>
      <c r="AU3" s="215" t="s">
        <v>80</v>
      </c>
      <c r="AV3" s="216"/>
      <c r="AW3" s="217"/>
      <c r="AX3" s="211"/>
      <c r="AY3" s="211"/>
      <c r="AZ3" s="211"/>
      <c r="BA3" s="211"/>
      <c r="BB3" s="211"/>
    </row>
    <row r="4" spans="19:54" ht="34.5" customHeight="1" thickBot="1">
      <c r="S4" s="225" t="s">
        <v>8</v>
      </c>
      <c r="T4" s="226"/>
      <c r="U4" s="226"/>
      <c r="V4" s="226"/>
      <c r="W4" s="226"/>
      <c r="X4" s="227"/>
      <c r="Y4" s="227"/>
      <c r="Z4" s="228"/>
      <c r="AA4" s="229" t="s">
        <v>9</v>
      </c>
      <c r="AB4" s="230"/>
      <c r="AC4" s="231" t="s">
        <v>10</v>
      </c>
      <c r="AD4" s="232"/>
      <c r="AE4" s="233" t="s">
        <v>11</v>
      </c>
      <c r="AF4" s="234"/>
      <c r="AG4" s="234"/>
      <c r="AH4" s="234"/>
      <c r="AI4" s="234"/>
      <c r="AJ4" s="235"/>
      <c r="AK4" s="7"/>
      <c r="AL4" s="236" t="s">
        <v>12</v>
      </c>
      <c r="AM4" s="237"/>
      <c r="AN4" s="237"/>
      <c r="AO4" s="237"/>
      <c r="AP4" s="237"/>
      <c r="AQ4" s="237"/>
      <c r="AR4" s="8"/>
      <c r="AS4" s="238" t="s">
        <v>13</v>
      </c>
      <c r="AT4" s="239"/>
      <c r="AU4" s="239"/>
      <c r="AV4" s="239"/>
      <c r="AW4" s="240"/>
      <c r="AX4" s="218" t="s">
        <v>14</v>
      </c>
      <c r="AY4" s="219"/>
      <c r="AZ4" s="219"/>
      <c r="BA4" s="219"/>
      <c r="BB4" s="220"/>
    </row>
    <row r="5" spans="19:54" ht="52.5" customHeight="1">
      <c r="S5" s="246" t="s">
        <v>15</v>
      </c>
      <c r="T5" s="248" t="s">
        <v>16</v>
      </c>
      <c r="U5" s="248" t="s">
        <v>17</v>
      </c>
      <c r="V5" s="248" t="s">
        <v>18</v>
      </c>
      <c r="W5" s="248" t="s">
        <v>19</v>
      </c>
      <c r="X5" s="248" t="s">
        <v>20</v>
      </c>
      <c r="Y5" s="248" t="s">
        <v>21</v>
      </c>
      <c r="Z5" s="250" t="s">
        <v>22</v>
      </c>
      <c r="AA5" s="252" t="s">
        <v>23</v>
      </c>
      <c r="AB5" s="270" t="s">
        <v>9</v>
      </c>
      <c r="AC5" s="272" t="s">
        <v>24</v>
      </c>
      <c r="AD5" s="272" t="s">
        <v>25</v>
      </c>
      <c r="AE5" s="274" t="s">
        <v>26</v>
      </c>
      <c r="AF5" s="209" t="s">
        <v>27</v>
      </c>
      <c r="AG5" s="209" t="s">
        <v>28</v>
      </c>
      <c r="AH5" s="263" t="s">
        <v>29</v>
      </c>
      <c r="AI5" s="263" t="s">
        <v>30</v>
      </c>
      <c r="AJ5" s="265" t="s">
        <v>31</v>
      </c>
      <c r="AK5" s="267" t="s">
        <v>32</v>
      </c>
      <c r="AL5" s="268"/>
      <c r="AM5" s="268"/>
      <c r="AN5" s="268"/>
      <c r="AO5" s="268"/>
      <c r="AP5" s="268"/>
      <c r="AQ5" s="268"/>
      <c r="AR5" s="269"/>
      <c r="AS5" s="259" t="s">
        <v>33</v>
      </c>
      <c r="AT5" s="259" t="s">
        <v>34</v>
      </c>
      <c r="AU5" s="259" t="s">
        <v>35</v>
      </c>
      <c r="AV5" s="259" t="s">
        <v>66</v>
      </c>
      <c r="AW5" s="261" t="s">
        <v>36</v>
      </c>
      <c r="AX5" s="252" t="s">
        <v>37</v>
      </c>
      <c r="AY5" s="221" t="s">
        <v>38</v>
      </c>
      <c r="AZ5" s="221" t="s">
        <v>39</v>
      </c>
      <c r="BA5" s="221" t="s">
        <v>40</v>
      </c>
      <c r="BB5" s="223" t="s">
        <v>41</v>
      </c>
    </row>
    <row r="6" spans="19:54" ht="27.95" customHeight="1" thickBot="1">
      <c r="S6" s="247"/>
      <c r="T6" s="249"/>
      <c r="U6" s="249"/>
      <c r="V6" s="249"/>
      <c r="W6" s="249"/>
      <c r="X6" s="249"/>
      <c r="Y6" s="249"/>
      <c r="Z6" s="251"/>
      <c r="AA6" s="253"/>
      <c r="AB6" s="271"/>
      <c r="AC6" s="273"/>
      <c r="AD6" s="273"/>
      <c r="AE6" s="275"/>
      <c r="AF6" s="210"/>
      <c r="AG6" s="210"/>
      <c r="AH6" s="264"/>
      <c r="AI6" s="264"/>
      <c r="AJ6" s="266"/>
      <c r="AK6" s="9">
        <v>1</v>
      </c>
      <c r="AL6" s="10">
        <v>2</v>
      </c>
      <c r="AM6" s="10">
        <v>3</v>
      </c>
      <c r="AN6" s="10">
        <v>4</v>
      </c>
      <c r="AO6" s="10">
        <v>5</v>
      </c>
      <c r="AP6" s="10">
        <v>6</v>
      </c>
      <c r="AQ6" s="10">
        <v>12</v>
      </c>
      <c r="AR6" s="11"/>
      <c r="AS6" s="260"/>
      <c r="AT6" s="260"/>
      <c r="AU6" s="260"/>
      <c r="AV6" s="260"/>
      <c r="AW6" s="262"/>
      <c r="AX6" s="253"/>
      <c r="AY6" s="222"/>
      <c r="AZ6" s="222"/>
      <c r="BA6" s="222"/>
      <c r="BB6" s="224"/>
    </row>
    <row r="7" spans="19:54" s="34" customFormat="1" ht="48" customHeight="1" thickBot="1">
      <c r="S7" s="12">
        <v>1</v>
      </c>
      <c r="T7" s="241" t="s">
        <v>1</v>
      </c>
      <c r="U7" s="13"/>
      <c r="V7" s="14"/>
      <c r="W7" s="15"/>
      <c r="X7" s="16"/>
      <c r="Y7" s="17"/>
      <c r="Z7" s="18">
        <f t="shared" ref="Z7:Z15" si="0">IF(Y7&lt;X7,1+Y7-X7,Y7-X7)</f>
        <v>0</v>
      </c>
      <c r="AA7" s="19"/>
      <c r="AB7" s="20"/>
      <c r="AC7" s="21"/>
      <c r="AD7" s="100"/>
      <c r="AE7" s="22"/>
      <c r="AF7" s="23"/>
      <c r="AG7" s="23"/>
      <c r="AH7" s="23"/>
      <c r="AI7" s="23"/>
      <c r="AJ7" s="24"/>
      <c r="AK7" s="25"/>
      <c r="AL7" s="26"/>
      <c r="AM7" s="26"/>
      <c r="AN7" s="26"/>
      <c r="AO7" s="26"/>
      <c r="AP7" s="26"/>
      <c r="AQ7" s="26"/>
      <c r="AR7" s="27"/>
      <c r="AS7" s="28"/>
      <c r="AT7" s="13"/>
      <c r="AU7" s="13"/>
      <c r="AV7" s="13"/>
      <c r="AW7" s="29"/>
      <c r="AX7" s="30">
        <f t="shared" ref="AX7:AX15" si="1">SUM(AY7:BB7)</f>
        <v>0</v>
      </c>
      <c r="AY7" s="31">
        <v>0</v>
      </c>
      <c r="AZ7" s="32">
        <v>0</v>
      </c>
      <c r="BA7" s="31">
        <v>0</v>
      </c>
      <c r="BB7" s="33">
        <f t="shared" ref="BB7:BB15" si="2">SUM(($AQ$6*AQ7+$AP$6*AP7+$AN$6*AN7+$AM$6*$AM7+$AL$6*AL7+$AK$6*AK7+$AO$6*AO7+$AR$6*AR7)*175)</f>
        <v>0</v>
      </c>
    </row>
    <row r="8" spans="19:54" s="34" customFormat="1" ht="48" customHeight="1" thickBot="1">
      <c r="S8" s="12">
        <v>2</v>
      </c>
      <c r="T8" s="242"/>
      <c r="U8" s="35"/>
      <c r="V8" s="140"/>
      <c r="W8" s="140"/>
      <c r="X8" s="36"/>
      <c r="Y8" s="36"/>
      <c r="Z8" s="37">
        <f t="shared" si="0"/>
        <v>0</v>
      </c>
      <c r="AA8" s="38"/>
      <c r="AB8" s="39"/>
      <c r="AC8" s="40"/>
      <c r="AD8" s="101"/>
      <c r="AE8" s="41"/>
      <c r="AF8" s="42"/>
      <c r="AG8" s="42"/>
      <c r="AH8" s="42"/>
      <c r="AI8" s="42"/>
      <c r="AJ8" s="43"/>
      <c r="AK8" s="44"/>
      <c r="AL8" s="45"/>
      <c r="AM8" s="45"/>
      <c r="AN8" s="45"/>
      <c r="AO8" s="45"/>
      <c r="AP8" s="45"/>
      <c r="AQ8" s="45"/>
      <c r="AR8" s="46"/>
      <c r="AS8" s="47"/>
      <c r="AT8" s="35"/>
      <c r="AU8" s="35"/>
      <c r="AV8" s="35"/>
      <c r="AW8" s="48"/>
      <c r="AX8" s="49">
        <f t="shared" si="1"/>
        <v>0</v>
      </c>
      <c r="AY8" s="50">
        <v>0</v>
      </c>
      <c r="AZ8" s="51">
        <v>0</v>
      </c>
      <c r="BA8" s="52">
        <v>0</v>
      </c>
      <c r="BB8" s="53">
        <f t="shared" si="2"/>
        <v>0</v>
      </c>
    </row>
    <row r="9" spans="19:54" s="34" customFormat="1" ht="48" customHeight="1" thickBot="1">
      <c r="S9" s="12">
        <v>3</v>
      </c>
      <c r="T9" s="242"/>
      <c r="U9" s="35"/>
      <c r="V9" s="140"/>
      <c r="W9" s="140"/>
      <c r="X9" s="36"/>
      <c r="Y9" s="36"/>
      <c r="Z9" s="37">
        <f t="shared" si="0"/>
        <v>0</v>
      </c>
      <c r="AA9" s="38"/>
      <c r="AB9" s="39"/>
      <c r="AC9" s="40"/>
      <c r="AD9" s="101"/>
      <c r="AE9" s="41"/>
      <c r="AF9" s="42"/>
      <c r="AG9" s="42"/>
      <c r="AH9" s="42"/>
      <c r="AI9" s="42"/>
      <c r="AJ9" s="43"/>
      <c r="AK9" s="44"/>
      <c r="AL9" s="45"/>
      <c r="AM9" s="45"/>
      <c r="AN9" s="45"/>
      <c r="AO9" s="45"/>
      <c r="AP9" s="45"/>
      <c r="AQ9" s="45"/>
      <c r="AR9" s="46"/>
      <c r="AS9" s="47"/>
      <c r="AT9" s="35"/>
      <c r="AU9" s="35"/>
      <c r="AV9" s="35"/>
      <c r="AW9" s="48"/>
      <c r="AX9" s="49">
        <f t="shared" si="1"/>
        <v>0</v>
      </c>
      <c r="AY9" s="51">
        <v>0</v>
      </c>
      <c r="AZ9" s="52">
        <v>0</v>
      </c>
      <c r="BA9" s="51">
        <v>0</v>
      </c>
      <c r="BB9" s="53">
        <f t="shared" si="2"/>
        <v>0</v>
      </c>
    </row>
    <row r="10" spans="19:54" s="34" customFormat="1" ht="48" customHeight="1" thickBot="1">
      <c r="S10" s="12">
        <v>4</v>
      </c>
      <c r="T10" s="243" t="s">
        <v>5</v>
      </c>
      <c r="U10" s="35"/>
      <c r="V10" s="167"/>
      <c r="W10" s="167"/>
      <c r="X10" s="36"/>
      <c r="Y10" s="36"/>
      <c r="Z10" s="37">
        <f t="shared" si="0"/>
        <v>0</v>
      </c>
      <c r="AA10" s="38"/>
      <c r="AB10" s="39"/>
      <c r="AC10" s="40"/>
      <c r="AD10" s="101"/>
      <c r="AE10" s="41"/>
      <c r="AF10" s="42"/>
      <c r="AG10" s="42"/>
      <c r="AH10" s="42"/>
      <c r="AI10" s="42"/>
      <c r="AJ10" s="43"/>
      <c r="AK10" s="44"/>
      <c r="AL10" s="45"/>
      <c r="AM10" s="45"/>
      <c r="AN10" s="45"/>
      <c r="AO10" s="45"/>
      <c r="AP10" s="45"/>
      <c r="AQ10" s="45"/>
      <c r="AR10" s="46"/>
      <c r="AS10" s="47"/>
      <c r="AT10" s="35"/>
      <c r="AU10" s="35"/>
      <c r="AV10" s="35"/>
      <c r="AW10" s="48"/>
      <c r="AX10" s="49">
        <f t="shared" si="1"/>
        <v>0</v>
      </c>
      <c r="AY10" s="51">
        <v>0</v>
      </c>
      <c r="AZ10" s="52">
        <v>0</v>
      </c>
      <c r="BA10" s="51">
        <v>0</v>
      </c>
      <c r="BB10" s="53">
        <f t="shared" si="2"/>
        <v>0</v>
      </c>
    </row>
    <row r="11" spans="19:54" s="34" customFormat="1" ht="48" customHeight="1" thickBot="1">
      <c r="S11" s="12">
        <v>5</v>
      </c>
      <c r="T11" s="243"/>
      <c r="U11" s="35"/>
      <c r="V11" s="167"/>
      <c r="W11" s="167"/>
      <c r="X11" s="36"/>
      <c r="Y11" s="36"/>
      <c r="Z11" s="37">
        <f t="shared" si="0"/>
        <v>0</v>
      </c>
      <c r="AA11" s="38"/>
      <c r="AB11" s="39"/>
      <c r="AC11" s="40"/>
      <c r="AD11" s="101"/>
      <c r="AE11" s="41"/>
      <c r="AF11" s="42"/>
      <c r="AG11" s="42"/>
      <c r="AH11" s="42"/>
      <c r="AI11" s="42"/>
      <c r="AJ11" s="43"/>
      <c r="AK11" s="44"/>
      <c r="AL11" s="45"/>
      <c r="AM11" s="45"/>
      <c r="AN11" s="45"/>
      <c r="AO11" s="45"/>
      <c r="AP11" s="45"/>
      <c r="AQ11" s="45"/>
      <c r="AR11" s="47"/>
      <c r="AS11" s="35"/>
      <c r="AT11" s="35"/>
      <c r="AU11" s="35"/>
      <c r="AV11" s="48"/>
      <c r="AW11" s="48"/>
      <c r="AX11" s="49">
        <f t="shared" si="1"/>
        <v>0</v>
      </c>
      <c r="AY11" s="50">
        <v>0</v>
      </c>
      <c r="AZ11" s="51">
        <v>0</v>
      </c>
      <c r="BA11" s="52">
        <v>0</v>
      </c>
      <c r="BB11" s="53">
        <f t="shared" si="2"/>
        <v>0</v>
      </c>
    </row>
    <row r="12" spans="19:54" s="34" customFormat="1" ht="48" customHeight="1" thickBot="1">
      <c r="S12" s="12">
        <v>10</v>
      </c>
      <c r="T12" s="243"/>
      <c r="U12" s="35"/>
      <c r="V12" s="167"/>
      <c r="W12" s="167"/>
      <c r="X12" s="36"/>
      <c r="Y12" s="120"/>
      <c r="Z12" s="55">
        <f t="shared" si="0"/>
        <v>0</v>
      </c>
      <c r="AA12" s="19"/>
      <c r="AB12" s="20"/>
      <c r="AC12" s="21"/>
      <c r="AD12" s="100"/>
      <c r="AE12" s="22"/>
      <c r="AF12" s="23"/>
      <c r="AG12" s="23"/>
      <c r="AH12" s="23"/>
      <c r="AI12" s="23"/>
      <c r="AJ12" s="24"/>
      <c r="AK12" s="25"/>
      <c r="AL12" s="26"/>
      <c r="AM12" s="26"/>
      <c r="AN12" s="26"/>
      <c r="AO12" s="26"/>
      <c r="AP12" s="26"/>
      <c r="AQ12" s="26"/>
      <c r="AR12" s="27"/>
      <c r="AS12" s="28"/>
      <c r="AT12" s="13"/>
      <c r="AU12" s="13"/>
      <c r="AV12" s="13"/>
      <c r="AW12" s="29"/>
      <c r="AX12" s="30">
        <f t="shared" si="1"/>
        <v>0</v>
      </c>
      <c r="AY12" s="31">
        <v>0</v>
      </c>
      <c r="AZ12" s="32">
        <v>0</v>
      </c>
      <c r="BA12" s="31">
        <v>0</v>
      </c>
      <c r="BB12" s="56">
        <f t="shared" si="2"/>
        <v>0</v>
      </c>
    </row>
    <row r="13" spans="19:54" s="34" customFormat="1" ht="48" customHeight="1" thickBot="1">
      <c r="S13" s="12">
        <v>11</v>
      </c>
      <c r="T13" s="244" t="s">
        <v>65</v>
      </c>
      <c r="U13" s="35"/>
      <c r="V13" s="140"/>
      <c r="W13" s="140"/>
      <c r="X13" s="36"/>
      <c r="Y13" s="36"/>
      <c r="Z13" s="37">
        <f t="shared" si="0"/>
        <v>0</v>
      </c>
      <c r="AA13" s="38"/>
      <c r="AB13" s="39"/>
      <c r="AC13" s="40"/>
      <c r="AD13" s="101"/>
      <c r="AE13" s="41"/>
      <c r="AF13" s="42"/>
      <c r="AG13" s="42"/>
      <c r="AH13" s="42"/>
      <c r="AI13" s="42"/>
      <c r="AJ13" s="43"/>
      <c r="AK13" s="44"/>
      <c r="AL13" s="45"/>
      <c r="AM13" s="45"/>
      <c r="AN13" s="45"/>
      <c r="AO13" s="45"/>
      <c r="AP13" s="45"/>
      <c r="AQ13" s="45"/>
      <c r="AR13" s="46"/>
      <c r="AS13" s="47"/>
      <c r="AT13" s="35"/>
      <c r="AU13" s="35"/>
      <c r="AV13" s="35"/>
      <c r="AW13" s="48"/>
      <c r="AX13" s="49">
        <f t="shared" si="1"/>
        <v>0</v>
      </c>
      <c r="AY13" s="50">
        <v>0</v>
      </c>
      <c r="AZ13" s="51">
        <v>0</v>
      </c>
      <c r="BA13" s="52">
        <v>0</v>
      </c>
      <c r="BB13" s="57">
        <f t="shared" si="2"/>
        <v>0</v>
      </c>
    </row>
    <row r="14" spans="19:54" s="34" customFormat="1" ht="48" customHeight="1" thickBot="1">
      <c r="S14" s="12">
        <v>12</v>
      </c>
      <c r="T14" s="244"/>
      <c r="U14" s="35"/>
      <c r="V14" s="140"/>
      <c r="W14" s="140"/>
      <c r="X14" s="36"/>
      <c r="Y14" s="36"/>
      <c r="Z14" s="37">
        <f t="shared" si="0"/>
        <v>0</v>
      </c>
      <c r="AA14" s="38"/>
      <c r="AB14" s="39"/>
      <c r="AC14" s="147"/>
      <c r="AD14" s="101"/>
      <c r="AE14" s="41"/>
      <c r="AF14" s="42"/>
      <c r="AG14" s="42"/>
      <c r="AH14" s="42"/>
      <c r="AI14" s="42"/>
      <c r="AJ14" s="43"/>
      <c r="AK14" s="44"/>
      <c r="AL14" s="45"/>
      <c r="AM14" s="45"/>
      <c r="AN14" s="45"/>
      <c r="AO14" s="45"/>
      <c r="AP14" s="45"/>
      <c r="AQ14" s="45"/>
      <c r="AR14" s="46"/>
      <c r="AS14" s="47"/>
      <c r="AT14" s="35"/>
      <c r="AU14" s="35"/>
      <c r="AV14" s="35"/>
      <c r="AW14" s="48"/>
      <c r="AX14" s="49">
        <f t="shared" si="1"/>
        <v>0</v>
      </c>
      <c r="AY14" s="51">
        <v>0</v>
      </c>
      <c r="AZ14" s="52">
        <v>0</v>
      </c>
      <c r="BA14" s="51">
        <v>0</v>
      </c>
      <c r="BB14" s="57">
        <f t="shared" si="2"/>
        <v>0</v>
      </c>
    </row>
    <row r="15" spans="19:54" s="34" customFormat="1" ht="48" customHeight="1" thickBot="1">
      <c r="S15" s="12">
        <v>13</v>
      </c>
      <c r="T15" s="245"/>
      <c r="U15" s="58"/>
      <c r="V15" s="59"/>
      <c r="W15" s="59"/>
      <c r="X15" s="60"/>
      <c r="Y15" s="60"/>
      <c r="Z15" s="61">
        <f t="shared" si="0"/>
        <v>0</v>
      </c>
      <c r="AA15" s="62"/>
      <c r="AB15" s="63"/>
      <c r="AC15" s="64"/>
      <c r="AD15" s="102"/>
      <c r="AE15" s="65"/>
      <c r="AF15" s="66"/>
      <c r="AG15" s="67"/>
      <c r="AH15" s="67"/>
      <c r="AI15" s="67"/>
      <c r="AJ15" s="66"/>
      <c r="AK15" s="68"/>
      <c r="AL15" s="69"/>
      <c r="AM15" s="69"/>
      <c r="AN15" s="69"/>
      <c r="AO15" s="69"/>
      <c r="AP15" s="69"/>
      <c r="AQ15" s="69"/>
      <c r="AR15" s="70"/>
      <c r="AS15" s="71"/>
      <c r="AT15" s="35"/>
      <c r="AU15" s="35"/>
      <c r="AV15" s="35"/>
      <c r="AW15" s="48"/>
      <c r="AX15" s="49">
        <f t="shared" si="1"/>
        <v>0</v>
      </c>
      <c r="AY15" s="50">
        <v>0</v>
      </c>
      <c r="AZ15" s="51">
        <v>0</v>
      </c>
      <c r="BA15" s="52">
        <v>0</v>
      </c>
      <c r="BB15" s="57">
        <f t="shared" si="2"/>
        <v>0</v>
      </c>
    </row>
    <row r="16" spans="19:54" s="72" customFormat="1" ht="50.1" customHeight="1">
      <c r="S16" s="254" t="s">
        <v>42</v>
      </c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5" t="s">
        <v>53</v>
      </c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6" t="s">
        <v>43</v>
      </c>
      <c r="AU16" s="257"/>
      <c r="AV16" s="257"/>
      <c r="AW16" s="257"/>
      <c r="AX16" s="257"/>
      <c r="AY16" s="257"/>
      <c r="AZ16" s="257"/>
      <c r="BA16" s="257"/>
      <c r="BB16" s="258"/>
    </row>
    <row r="17" spans="18:62" s="72" customFormat="1" ht="60" customHeight="1">
      <c r="S17" s="73" t="s">
        <v>15</v>
      </c>
      <c r="T17" s="300" t="s">
        <v>44</v>
      </c>
      <c r="U17" s="301"/>
      <c r="V17" s="302" t="s">
        <v>45</v>
      </c>
      <c r="W17" s="303"/>
      <c r="X17" s="74" t="s">
        <v>46</v>
      </c>
      <c r="Y17" s="75" t="s">
        <v>67</v>
      </c>
      <c r="Z17" s="304" t="s">
        <v>47</v>
      </c>
      <c r="AA17" s="304"/>
      <c r="AB17" s="304"/>
      <c r="AC17" s="304"/>
      <c r="AD17" s="304"/>
      <c r="AE17" s="304"/>
      <c r="AF17" s="304"/>
      <c r="AG17" s="305" t="s">
        <v>48</v>
      </c>
      <c r="AH17" s="306"/>
      <c r="AI17" s="307" t="s">
        <v>49</v>
      </c>
      <c r="AJ17" s="307"/>
      <c r="AK17" s="92"/>
      <c r="AL17" s="308" t="s">
        <v>68</v>
      </c>
      <c r="AM17" s="309"/>
      <c r="AN17" s="310"/>
      <c r="AO17" s="288" t="s">
        <v>50</v>
      </c>
      <c r="AP17" s="289"/>
      <c r="AQ17" s="289"/>
      <c r="AR17" s="289"/>
      <c r="AS17" s="289"/>
      <c r="AT17" s="76" t="s">
        <v>51</v>
      </c>
      <c r="AU17" s="290" t="s">
        <v>33</v>
      </c>
      <c r="AV17" s="291"/>
      <c r="AW17" s="77" t="s">
        <v>34</v>
      </c>
      <c r="AX17" s="77" t="s">
        <v>66</v>
      </c>
      <c r="AY17" s="77" t="s">
        <v>35</v>
      </c>
      <c r="AZ17" s="77" t="s">
        <v>36</v>
      </c>
      <c r="BA17" s="292" t="s">
        <v>52</v>
      </c>
      <c r="BB17" s="293"/>
    </row>
    <row r="18" spans="18:62" ht="60.75" customHeight="1">
      <c r="S18" s="78">
        <v>1</v>
      </c>
      <c r="T18" s="294"/>
      <c r="U18" s="295"/>
      <c r="V18" s="280"/>
      <c r="W18" s="281"/>
      <c r="X18" s="79" t="str">
        <f>TEXT(MOD(V18-T18,1),"h:mm")</f>
        <v>0:00</v>
      </c>
      <c r="Y18" s="80"/>
      <c r="Z18" s="282"/>
      <c r="AA18" s="282"/>
      <c r="AB18" s="282"/>
      <c r="AC18" s="282"/>
      <c r="AD18" s="282"/>
      <c r="AE18" s="282"/>
      <c r="AF18" s="282"/>
      <c r="AG18" s="296">
        <f>SUM(AX7:AX9)</f>
        <v>0</v>
      </c>
      <c r="AH18" s="297"/>
      <c r="AI18" s="298">
        <f>SUM(AX10:AX12)</f>
        <v>0</v>
      </c>
      <c r="AJ18" s="298"/>
      <c r="AK18" s="93"/>
      <c r="AL18" s="298">
        <f>SUM(AX13:AX15)</f>
        <v>0</v>
      </c>
      <c r="AM18" s="298"/>
      <c r="AN18" s="298"/>
      <c r="AO18" s="299">
        <f>SUM(AG18:AN18)</f>
        <v>0</v>
      </c>
      <c r="AP18" s="299"/>
      <c r="AQ18" s="299"/>
      <c r="AR18" s="299"/>
      <c r="AS18" s="299"/>
      <c r="AT18" s="81" t="s">
        <v>1</v>
      </c>
      <c r="AU18" s="276">
        <f>SUM(AS7:AS9)</f>
        <v>0</v>
      </c>
      <c r="AV18" s="277"/>
      <c r="AW18" s="82">
        <f>SUM(AT7:AT9)</f>
        <v>0</v>
      </c>
      <c r="AX18" s="82">
        <f>SUM(AV7:AV9)</f>
        <v>0</v>
      </c>
      <c r="AY18" s="82">
        <f>SUM(AU7:AU9)</f>
        <v>0</v>
      </c>
      <c r="AZ18" s="82">
        <f>SUM(AW7:AW9)</f>
        <v>0</v>
      </c>
      <c r="BA18" s="276">
        <f>SUM(AU18:AZ18)</f>
        <v>0</v>
      </c>
      <c r="BB18" s="277"/>
    </row>
    <row r="19" spans="18:62" ht="60.75" customHeight="1">
      <c r="S19" s="78">
        <v>2</v>
      </c>
      <c r="T19" s="278"/>
      <c r="U19" s="279"/>
      <c r="V19" s="280"/>
      <c r="W19" s="281"/>
      <c r="X19" s="79" t="str">
        <f>TEXT(MOD(V19-T19,1),"h:mm")</f>
        <v>0:00</v>
      </c>
      <c r="Y19" s="80"/>
      <c r="Z19" s="282"/>
      <c r="AA19" s="282"/>
      <c r="AB19" s="282"/>
      <c r="AC19" s="282"/>
      <c r="AD19" s="282"/>
      <c r="AE19" s="282"/>
      <c r="AF19" s="282"/>
      <c r="AG19" s="283" t="s">
        <v>41</v>
      </c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5"/>
      <c r="AT19" s="83" t="s">
        <v>5</v>
      </c>
      <c r="AU19" s="286">
        <f>SUM(AS10:AS12)</f>
        <v>0</v>
      </c>
      <c r="AV19" s="287"/>
      <c r="AW19" s="84">
        <f>SUM(AT10:AT12)</f>
        <v>0</v>
      </c>
      <c r="AX19" s="84">
        <f>SUM(AV10:AV12)</f>
        <v>0</v>
      </c>
      <c r="AY19" s="84">
        <f>SUM(AU10:AU12)</f>
        <v>0</v>
      </c>
      <c r="AZ19" s="84">
        <f>SUM(AW10:AW12)</f>
        <v>0</v>
      </c>
      <c r="BA19" s="286">
        <f>SUM(AU19:AZ19)</f>
        <v>0</v>
      </c>
      <c r="BB19" s="287"/>
    </row>
    <row r="20" spans="18:62" ht="60.75" customHeight="1">
      <c r="S20" s="78">
        <v>3</v>
      </c>
      <c r="T20" s="278"/>
      <c r="U20" s="279"/>
      <c r="V20" s="280"/>
      <c r="W20" s="281"/>
      <c r="X20" s="79" t="str">
        <f>TEXT(MOD(V20-T20,1),"h:mm")</f>
        <v>0:00</v>
      </c>
      <c r="Y20" s="80"/>
      <c r="Z20" s="327"/>
      <c r="AA20" s="327"/>
      <c r="AB20" s="327"/>
      <c r="AC20" s="327"/>
      <c r="AD20" s="327"/>
      <c r="AE20" s="327"/>
      <c r="AF20" s="327"/>
      <c r="AG20" s="311">
        <f>SUM(BB7:BB9)</f>
        <v>0</v>
      </c>
      <c r="AH20" s="328"/>
      <c r="AI20" s="311">
        <f>SUM(BB10:BB12)</f>
        <v>0</v>
      </c>
      <c r="AJ20" s="328"/>
      <c r="AK20" s="94"/>
      <c r="AL20" s="311">
        <f>SUM(BB13:BB15)</f>
        <v>0</v>
      </c>
      <c r="AM20" s="329"/>
      <c r="AN20" s="328"/>
      <c r="AO20" s="311">
        <f>SUM(AG20:AN20)</f>
        <v>0</v>
      </c>
      <c r="AP20" s="312"/>
      <c r="AQ20" s="312"/>
      <c r="AR20" s="312"/>
      <c r="AS20" s="313"/>
      <c r="AT20" s="91" t="s">
        <v>65</v>
      </c>
      <c r="AU20" s="314">
        <f>SUM(AS13:AS15)</f>
        <v>0</v>
      </c>
      <c r="AV20" s="315"/>
      <c r="AW20" s="99">
        <f>SUM(AT13:AT15)</f>
        <v>0</v>
      </c>
      <c r="AX20" s="99">
        <f>SUM(AV13:AV15)</f>
        <v>0</v>
      </c>
      <c r="AY20" s="99">
        <f>SUM(AU13:AU15)</f>
        <v>0</v>
      </c>
      <c r="AZ20" s="99">
        <f>SUM(AW13:AW15)</f>
        <v>0</v>
      </c>
      <c r="BA20" s="316">
        <f>SUM(AU20:AZ20)</f>
        <v>0</v>
      </c>
      <c r="BB20" s="317"/>
    </row>
    <row r="21" spans="18:62" ht="60.75" customHeight="1">
      <c r="S21" s="78">
        <v>4</v>
      </c>
      <c r="T21" s="278"/>
      <c r="U21" s="279"/>
      <c r="V21" s="280"/>
      <c r="W21" s="281"/>
      <c r="X21" s="79" t="str">
        <f>TEXT(MOD(V21-T21,1),"h:mm")</f>
        <v>0:00</v>
      </c>
      <c r="Y21" s="80"/>
      <c r="Z21" s="318"/>
      <c r="AA21" s="318"/>
      <c r="AB21" s="318"/>
      <c r="AC21" s="318"/>
      <c r="AD21" s="318"/>
      <c r="AE21" s="318"/>
      <c r="AF21" s="318"/>
      <c r="AG21" s="319" t="s">
        <v>54</v>
      </c>
      <c r="AH21" s="320"/>
      <c r="AI21" s="320"/>
      <c r="AJ21" s="320"/>
      <c r="AK21" s="320"/>
      <c r="AL21" s="320"/>
      <c r="AM21" s="320"/>
      <c r="AN21" s="320"/>
      <c r="AO21" s="320"/>
      <c r="AP21" s="320"/>
      <c r="AQ21" s="320"/>
      <c r="AR21" s="320"/>
      <c r="AS21" s="321"/>
      <c r="AT21" s="322" t="s">
        <v>55</v>
      </c>
      <c r="AU21" s="323"/>
      <c r="AV21" s="324"/>
      <c r="AW21" s="325">
        <v>1680</v>
      </c>
      <c r="AX21" s="326"/>
      <c r="AY21" s="322" t="s">
        <v>56</v>
      </c>
      <c r="AZ21" s="324"/>
      <c r="BA21" s="330">
        <v>1628</v>
      </c>
      <c r="BB21" s="331"/>
    </row>
    <row r="22" spans="18:62" ht="54" customHeight="1">
      <c r="S22" s="78">
        <v>5</v>
      </c>
      <c r="T22" s="278"/>
      <c r="U22" s="279"/>
      <c r="V22" s="280"/>
      <c r="W22" s="281"/>
      <c r="X22" s="79" t="str">
        <f>TEXT(MOD(V22-T22,1),"h:mm")</f>
        <v>0:00</v>
      </c>
      <c r="Y22" s="80"/>
      <c r="Z22" s="318"/>
      <c r="AA22" s="318"/>
      <c r="AB22" s="318"/>
      <c r="AC22" s="318"/>
      <c r="AD22" s="318"/>
      <c r="AE22" s="318"/>
      <c r="AF22" s="318"/>
      <c r="AG22" s="357">
        <f>SUM(AY7:BA9)</f>
        <v>0</v>
      </c>
      <c r="AH22" s="357"/>
      <c r="AI22" s="298">
        <f>SUM(AY10:BA12)</f>
        <v>0</v>
      </c>
      <c r="AJ22" s="298"/>
      <c r="AK22" s="95"/>
      <c r="AL22" s="358">
        <f>SUM(AY13:BA15)</f>
        <v>0</v>
      </c>
      <c r="AM22" s="358"/>
      <c r="AN22" s="359"/>
      <c r="AO22" s="360">
        <f>SUM(AG22:AN22)</f>
        <v>0</v>
      </c>
      <c r="AP22" s="361"/>
      <c r="AQ22" s="361"/>
      <c r="AR22" s="361"/>
      <c r="AS22" s="362"/>
      <c r="AT22" s="98" t="s">
        <v>69</v>
      </c>
      <c r="AU22" s="363" t="s">
        <v>48</v>
      </c>
      <c r="AV22" s="364"/>
      <c r="AW22" s="365" t="s">
        <v>49</v>
      </c>
      <c r="AX22" s="366"/>
      <c r="AY22" s="332" t="s">
        <v>68</v>
      </c>
      <c r="AZ22" s="333"/>
      <c r="BA22" s="334" t="s">
        <v>57</v>
      </c>
      <c r="BB22" s="335"/>
    </row>
    <row r="23" spans="18:62" ht="59.25" customHeight="1">
      <c r="S23" s="336" t="s">
        <v>61</v>
      </c>
      <c r="T23" s="337"/>
      <c r="U23" s="337"/>
      <c r="V23" s="337"/>
      <c r="W23" s="338"/>
      <c r="X23" s="85">
        <f>SUM(X18+X19+X20+X21+X22)</f>
        <v>0</v>
      </c>
      <c r="Y23" s="141" t="s">
        <v>62</v>
      </c>
      <c r="Z23" s="86"/>
      <c r="AA23" s="87"/>
      <c r="AB23" s="87"/>
      <c r="AC23" s="339" t="s">
        <v>63</v>
      </c>
      <c r="AD23" s="339"/>
      <c r="AE23" s="340"/>
      <c r="AF23" s="341"/>
      <c r="AG23" s="342" t="s">
        <v>22</v>
      </c>
      <c r="AH23" s="343"/>
      <c r="AI23" s="344"/>
      <c r="AJ23" s="345" t="s">
        <v>48</v>
      </c>
      <c r="AK23" s="346"/>
      <c r="AL23" s="346"/>
      <c r="AM23" s="347"/>
      <c r="AN23" s="348" t="s">
        <v>49</v>
      </c>
      <c r="AO23" s="348"/>
      <c r="AP23" s="348"/>
      <c r="AQ23" s="349" t="s">
        <v>68</v>
      </c>
      <c r="AR23" s="350"/>
      <c r="AS23" s="351"/>
      <c r="AT23" s="96" t="s">
        <v>60</v>
      </c>
      <c r="AU23" s="352">
        <f>SUM(AQ7:AQ9)</f>
        <v>0</v>
      </c>
      <c r="AV23" s="353"/>
      <c r="AW23" s="352">
        <f>SUM(AQ10:AQ12)</f>
        <v>0</v>
      </c>
      <c r="AX23" s="354"/>
      <c r="AY23" s="352">
        <f>SUM(AQ13:AQ15)</f>
        <v>0</v>
      </c>
      <c r="AZ23" s="353"/>
      <c r="BA23" s="355">
        <f>SUM(AU23:AZ23)</f>
        <v>0</v>
      </c>
      <c r="BB23" s="356"/>
    </row>
    <row r="24" spans="18:62" ht="57" customHeight="1">
      <c r="S24" s="367"/>
      <c r="T24" s="368"/>
      <c r="U24" s="368"/>
      <c r="V24" s="368"/>
      <c r="W24" s="369"/>
      <c r="X24" s="373" t="s">
        <v>73</v>
      </c>
      <c r="Y24" s="104" t="s">
        <v>70</v>
      </c>
      <c r="Z24" s="105" t="s">
        <v>71</v>
      </c>
      <c r="AA24" s="103"/>
      <c r="AB24" s="103"/>
      <c r="AC24" s="375" t="s">
        <v>72</v>
      </c>
      <c r="AD24" s="376"/>
      <c r="AE24" s="377" t="s">
        <v>57</v>
      </c>
      <c r="AF24" s="378"/>
      <c r="AG24" s="379" t="s">
        <v>58</v>
      </c>
      <c r="AH24" s="380"/>
      <c r="AI24" s="381"/>
      <c r="AJ24" s="382">
        <f>AVERAGE(Z7:Z8)</f>
        <v>0</v>
      </c>
      <c r="AK24" s="383"/>
      <c r="AL24" s="383"/>
      <c r="AM24" s="383"/>
      <c r="AN24" s="382">
        <f>AVERAGE(Z10:Z11)</f>
        <v>0</v>
      </c>
      <c r="AO24" s="383"/>
      <c r="AP24" s="383"/>
      <c r="AQ24" s="382">
        <f>AVERAGE(Z13:Z15)</f>
        <v>0</v>
      </c>
      <c r="AR24" s="383"/>
      <c r="AS24" s="383"/>
      <c r="AT24" s="97" t="s">
        <v>64</v>
      </c>
      <c r="AU24" s="387">
        <f>SUM(AL7:AP9)</f>
        <v>0</v>
      </c>
      <c r="AV24" s="388"/>
      <c r="AW24" s="387">
        <f>SUM(AL10:AP12)</f>
        <v>0</v>
      </c>
      <c r="AX24" s="388"/>
      <c r="AY24" s="387">
        <f>SUM(AL13:AP15)</f>
        <v>0</v>
      </c>
      <c r="AZ24" s="388"/>
      <c r="BA24" s="389">
        <f>SUM(AU24:AZ24)</f>
        <v>0</v>
      </c>
      <c r="BB24" s="390"/>
    </row>
    <row r="25" spans="18:62" ht="52.5" customHeight="1">
      <c r="S25" s="370"/>
      <c r="T25" s="371"/>
      <c r="U25" s="371"/>
      <c r="V25" s="371"/>
      <c r="W25" s="372"/>
      <c r="X25" s="374"/>
      <c r="Y25" s="106">
        <f>SUM(AD7:AD9)</f>
        <v>0</v>
      </c>
      <c r="Z25" s="106">
        <f>SUM(AD10:AD12)</f>
        <v>0</v>
      </c>
      <c r="AA25" s="107"/>
      <c r="AB25" s="107"/>
      <c r="AC25" s="391">
        <f>SUM(AD13:AD15)</f>
        <v>0</v>
      </c>
      <c r="AD25" s="392"/>
      <c r="AE25" s="393">
        <f>SUM(Y25:AD25)</f>
        <v>0</v>
      </c>
      <c r="AF25" s="394"/>
      <c r="AG25" s="379" t="s">
        <v>59</v>
      </c>
      <c r="AH25" s="380"/>
      <c r="AI25" s="381"/>
      <c r="AJ25" s="382">
        <f>SUM(Z7:Z9)</f>
        <v>0</v>
      </c>
      <c r="AK25" s="383"/>
      <c r="AL25" s="383"/>
      <c r="AM25" s="383"/>
      <c r="AN25" s="382">
        <f>SUM(Z10:Z12)</f>
        <v>0</v>
      </c>
      <c r="AO25" s="383"/>
      <c r="AP25" s="383"/>
      <c r="AQ25" s="382">
        <f>SUM(Z13:Z15)</f>
        <v>0</v>
      </c>
      <c r="AR25" s="383"/>
      <c r="AS25" s="383"/>
      <c r="AT25" s="384"/>
      <c r="AU25" s="385"/>
      <c r="AV25" s="385"/>
      <c r="AW25" s="385"/>
      <c r="AX25" s="385"/>
      <c r="AY25" s="385"/>
      <c r="AZ25" s="385"/>
      <c r="BA25" s="385"/>
      <c r="BB25" s="386"/>
    </row>
    <row r="26" spans="18:62" ht="60.75" customHeight="1"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8:62" ht="30" customHeight="1"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8:62" ht="30" customHeight="1"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T28" s="4"/>
      <c r="AU28" s="4"/>
      <c r="AV28" s="4"/>
      <c r="AW28" s="4"/>
      <c r="AX28" s="4"/>
      <c r="AY28" s="4"/>
      <c r="AZ28" s="4"/>
      <c r="BA28" s="4"/>
    </row>
    <row r="29" spans="18:62" ht="30" customHeight="1"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T29" s="4"/>
      <c r="AU29" s="4"/>
      <c r="AV29" s="4"/>
      <c r="AW29" s="4"/>
      <c r="AX29" s="4"/>
      <c r="AY29" s="4"/>
      <c r="AZ29" s="4"/>
      <c r="BA29" s="4"/>
    </row>
    <row r="30" spans="18:62" ht="30" customHeight="1">
      <c r="R30" s="3"/>
      <c r="S30" s="3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T30" s="4"/>
      <c r="AU30" s="4"/>
      <c r="AV30" s="4"/>
      <c r="AW30" s="4"/>
      <c r="AX30" s="4"/>
      <c r="AY30" s="4"/>
      <c r="AZ30" s="4"/>
      <c r="BA30" s="4"/>
    </row>
    <row r="31" spans="18:62" ht="30" customHeight="1">
      <c r="R31" s="3"/>
      <c r="S31" s="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T31" s="4"/>
      <c r="AU31" s="4"/>
      <c r="AV31" s="4"/>
      <c r="AW31" s="4"/>
      <c r="AX31" s="4"/>
      <c r="AY31" s="4"/>
      <c r="AZ31" s="4"/>
      <c r="BA31" s="4"/>
    </row>
    <row r="32" spans="18:62" ht="15" customHeight="1">
      <c r="S32" s="3"/>
      <c r="BJ32" s="4">
        <v>8</v>
      </c>
    </row>
  </sheetData>
  <mergeCells count="145">
    <mergeCell ref="S24:W25"/>
    <mergeCell ref="X24:X25"/>
    <mergeCell ref="AC24:AD24"/>
    <mergeCell ref="AE24:AF24"/>
    <mergeCell ref="AG24:AI24"/>
    <mergeCell ref="AJ24:AM24"/>
    <mergeCell ref="AN24:AP24"/>
    <mergeCell ref="AQ25:AS25"/>
    <mergeCell ref="AT25:BB25"/>
    <mergeCell ref="AQ24:AS24"/>
    <mergeCell ref="AU24:AV24"/>
    <mergeCell ref="AW24:AX24"/>
    <mergeCell ref="AY24:AZ24"/>
    <mergeCell ref="BA24:BB24"/>
    <mergeCell ref="AC25:AD25"/>
    <mergeCell ref="AE25:AF25"/>
    <mergeCell ref="AG25:AI25"/>
    <mergeCell ref="AJ25:AM25"/>
    <mergeCell ref="AN25:AP25"/>
    <mergeCell ref="AY22:AZ22"/>
    <mergeCell ref="BA22:BB22"/>
    <mergeCell ref="S23:W23"/>
    <mergeCell ref="AC23:AD23"/>
    <mergeCell ref="AE23:AF23"/>
    <mergeCell ref="AG23:AI23"/>
    <mergeCell ref="AJ23:AM23"/>
    <mergeCell ref="AN23:AP23"/>
    <mergeCell ref="AQ23:AS23"/>
    <mergeCell ref="AU23:AV23"/>
    <mergeCell ref="AW23:AX23"/>
    <mergeCell ref="AY23:AZ23"/>
    <mergeCell ref="BA23:BB23"/>
    <mergeCell ref="T22:U22"/>
    <mergeCell ref="V22:W22"/>
    <mergeCell ref="Z22:AF22"/>
    <mergeCell ref="AG22:AH22"/>
    <mergeCell ref="AI22:AJ22"/>
    <mergeCell ref="AL22:AN22"/>
    <mergeCell ref="AO22:AS22"/>
    <mergeCell ref="AU22:AV22"/>
    <mergeCell ref="AW22:AX22"/>
    <mergeCell ref="AO20:AS20"/>
    <mergeCell ref="AU20:AV20"/>
    <mergeCell ref="BA20:BB20"/>
    <mergeCell ref="T21:U21"/>
    <mergeCell ref="V21:W21"/>
    <mergeCell ref="Z21:AF21"/>
    <mergeCell ref="AG21:AS21"/>
    <mergeCell ref="AT21:AV21"/>
    <mergeCell ref="AW21:AX21"/>
    <mergeCell ref="AY21:AZ21"/>
    <mergeCell ref="T20:U20"/>
    <mergeCell ref="V20:W20"/>
    <mergeCell ref="Z20:AF20"/>
    <mergeCell ref="AG20:AH20"/>
    <mergeCell ref="AI20:AJ20"/>
    <mergeCell ref="AL20:AN20"/>
    <mergeCell ref="BA21:BB21"/>
    <mergeCell ref="AU18:AV18"/>
    <mergeCell ref="BA18:BB18"/>
    <mergeCell ref="T19:U19"/>
    <mergeCell ref="V19:W19"/>
    <mergeCell ref="Z19:AF19"/>
    <mergeCell ref="AG19:AS19"/>
    <mergeCell ref="AU19:AV19"/>
    <mergeCell ref="BA19:BB19"/>
    <mergeCell ref="AO17:AS17"/>
    <mergeCell ref="AU17:AV17"/>
    <mergeCell ref="BA17:BB17"/>
    <mergeCell ref="T18:U18"/>
    <mergeCell ref="V18:W18"/>
    <mergeCell ref="Z18:AF18"/>
    <mergeCell ref="AG18:AH18"/>
    <mergeCell ref="AI18:AJ18"/>
    <mergeCell ref="AL18:AN18"/>
    <mergeCell ref="AO18:AS18"/>
    <mergeCell ref="T17:U17"/>
    <mergeCell ref="V17:W17"/>
    <mergeCell ref="Z17:AF17"/>
    <mergeCell ref="AG17:AH17"/>
    <mergeCell ref="AI17:AJ17"/>
    <mergeCell ref="AL17:AN17"/>
    <mergeCell ref="S16:AF16"/>
    <mergeCell ref="AG16:AS16"/>
    <mergeCell ref="AT16:BB16"/>
    <mergeCell ref="AU5:AU6"/>
    <mergeCell ref="AV5:AV6"/>
    <mergeCell ref="AW5:AW6"/>
    <mergeCell ref="AX5:AX6"/>
    <mergeCell ref="AY5:AY6"/>
    <mergeCell ref="AZ5:AZ6"/>
    <mergeCell ref="AH5:AH6"/>
    <mergeCell ref="AI5:AI6"/>
    <mergeCell ref="AJ5:AJ6"/>
    <mergeCell ref="AK5:AR5"/>
    <mergeCell ref="AS5:AS6"/>
    <mergeCell ref="AT5:AT6"/>
    <mergeCell ref="AB5:AB6"/>
    <mergeCell ref="AC5:AC6"/>
    <mergeCell ref="AD5:AD6"/>
    <mergeCell ref="AE5:AE6"/>
    <mergeCell ref="S4:Z4"/>
    <mergeCell ref="AA4:AB4"/>
    <mergeCell ref="AC4:AD4"/>
    <mergeCell ref="AE4:AJ4"/>
    <mergeCell ref="AL4:AQ4"/>
    <mergeCell ref="AS4:AW4"/>
    <mergeCell ref="T7:T9"/>
    <mergeCell ref="T10:T12"/>
    <mergeCell ref="T13:T15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Q1:AT1"/>
    <mergeCell ref="AU1:AW1"/>
    <mergeCell ref="AF5:AF6"/>
    <mergeCell ref="AG5:AG6"/>
    <mergeCell ref="AX1:BB3"/>
    <mergeCell ref="AC2:AE2"/>
    <mergeCell ref="AF2:AH2"/>
    <mergeCell ref="AI2:AL2"/>
    <mergeCell ref="AM2:AP2"/>
    <mergeCell ref="AQ2:AT2"/>
    <mergeCell ref="AU2:AW2"/>
    <mergeCell ref="AC3:AE3"/>
    <mergeCell ref="AQ3:AT3"/>
    <mergeCell ref="AU3:AW3"/>
    <mergeCell ref="AX4:BB4"/>
    <mergeCell ref="BA5:BA6"/>
    <mergeCell ref="BB5:BB6"/>
    <mergeCell ref="S1:W3"/>
    <mergeCell ref="X1:Y3"/>
    <mergeCell ref="AC1:AE1"/>
    <mergeCell ref="AF1:AH1"/>
    <mergeCell ref="AI1:AL1"/>
    <mergeCell ref="AM1:AP1"/>
    <mergeCell ref="AF3:AH3"/>
    <mergeCell ref="AI3:AL3"/>
    <mergeCell ref="AM3:AP3"/>
  </mergeCells>
  <conditionalFormatting sqref="Z7:Z15">
    <cfRule type="cellIs" dxfId="325" priority="4" operator="greaterThan">
      <formula>0.167361111111111</formula>
    </cfRule>
    <cfRule type="cellIs" dxfId="324" priority="5" operator="greaterThan">
      <formula>0.15625</formula>
    </cfRule>
  </conditionalFormatting>
  <conditionalFormatting sqref="AA7:AJ15">
    <cfRule type="cellIs" dxfId="323" priority="12" operator="between">
      <formula>1700</formula>
      <formula>1710</formula>
    </cfRule>
    <cfRule type="cellIs" dxfId="322" priority="13" operator="between">
      <formula>1691</formula>
      <formula>1700</formula>
    </cfRule>
  </conditionalFormatting>
  <conditionalFormatting sqref="AR11">
    <cfRule type="expression" dxfId="321" priority="1">
      <formula>IF(($AS11/$AX11)*1000&gt;$AY$1,1,0)</formula>
    </cfRule>
  </conditionalFormatting>
  <conditionalFormatting sqref="AS7:AS10 AS12:AS15">
    <cfRule type="expression" dxfId="320" priority="14">
      <formula>IF(($AS7/$AX7)*1000&gt;$AY$1,1,0)</formula>
    </cfRule>
  </conditionalFormatting>
  <conditionalFormatting sqref="AT7:AW10 AS11:AW11 AT12:AW15">
    <cfRule type="cellIs" dxfId="319" priority="6" operator="greaterThan">
      <formula>10</formula>
    </cfRule>
  </conditionalFormatting>
  <conditionalFormatting sqref="AX7:AX15">
    <cfRule type="cellIs" dxfId="318" priority="3" operator="between">
      <formula>16000</formula>
      <formula>17200</formula>
    </cfRule>
    <cfRule type="cellIs" dxfId="317" priority="7" operator="lessThan">
      <formula>15800</formula>
    </cfRule>
    <cfRule type="cellIs" dxfId="316" priority="8" operator="greaterThan">
      <formula>18000</formula>
    </cfRule>
  </conditionalFormatting>
  <conditionalFormatting sqref="AZ7:BA15">
    <cfRule type="cellIs" dxfId="315" priority="11" operator="greaterThan">
      <formula>0</formula>
    </cfRule>
  </conditionalFormatting>
  <conditionalFormatting sqref="BB7:BB15">
    <cfRule type="cellIs" dxfId="314" priority="2" operator="between">
      <formula>16000</formula>
      <formula>17200</formula>
    </cfRule>
    <cfRule type="cellIs" dxfId="313" priority="9" operator="greaterThan">
      <formula>18000</formula>
    </cfRule>
    <cfRule type="cellIs" dxfId="312" priority="10" operator="lessThan">
      <formula>15800</formula>
    </cfRule>
  </conditionalFormatting>
  <printOptions horizontalCentered="1" verticalCentered="1"/>
  <pageMargins left="0" right="0" top="0" bottom="0.21" header="0" footer="0"/>
  <pageSetup paperSize="9" scale="42" orientation="landscape" cellComments="asDisplayed" r:id="rId1"/>
  <headerFooter differentFirst="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073D0-8DC8-4AA0-A372-7DE231A2BBBE}">
  <sheetPr>
    <tabColor theme="5"/>
    <pageSetUpPr fitToPage="1"/>
  </sheetPr>
  <dimension ref="R1:BJ32"/>
  <sheetViews>
    <sheetView showGridLines="0" rightToLeft="1" topLeftCell="P1" zoomScale="55" zoomScaleNormal="55" zoomScalePageLayoutView="40" workbookViewId="0">
      <selection activeCell="AS8" sqref="AS8"/>
    </sheetView>
  </sheetViews>
  <sheetFormatPr defaultColWidth="9.140625" defaultRowHeight="15"/>
  <cols>
    <col min="1" max="18" width="9.140625" style="4"/>
    <col min="19" max="19" width="5.7109375" style="4" customWidth="1"/>
    <col min="20" max="20" width="9.5703125" style="3" customWidth="1"/>
    <col min="21" max="21" width="10.7109375" style="3" customWidth="1"/>
    <col min="22" max="22" width="9.42578125" style="88" customWidth="1"/>
    <col min="23" max="23" width="8.85546875" style="88" customWidth="1"/>
    <col min="24" max="24" width="14.42578125" style="3" customWidth="1"/>
    <col min="25" max="25" width="14.7109375" style="3" customWidth="1"/>
    <col min="26" max="26" width="15.140625" style="88" customWidth="1"/>
    <col min="27" max="27" width="9.5703125" style="3" hidden="1" customWidth="1"/>
    <col min="28" max="28" width="10" style="3" hidden="1" customWidth="1"/>
    <col min="29" max="29" width="8.140625" style="3" customWidth="1"/>
    <col min="30" max="30" width="8.5703125" style="3" customWidth="1"/>
    <col min="31" max="31" width="12.42578125" style="3" customWidth="1"/>
    <col min="32" max="32" width="10.5703125" style="3" customWidth="1"/>
    <col min="33" max="33" width="9.5703125" style="3" customWidth="1"/>
    <col min="34" max="34" width="11.42578125" style="3" customWidth="1"/>
    <col min="35" max="35" width="9.42578125" style="3" customWidth="1"/>
    <col min="36" max="36" width="9.28515625" style="3" customWidth="1"/>
    <col min="37" max="37" width="6.7109375" style="3" hidden="1" customWidth="1"/>
    <col min="38" max="42" width="6.7109375" style="3" customWidth="1"/>
    <col min="43" max="43" width="8.140625" style="3" customWidth="1"/>
    <col min="44" max="44" width="6.7109375" style="3" hidden="1" customWidth="1"/>
    <col min="45" max="45" width="10.42578125" style="3" customWidth="1"/>
    <col min="46" max="46" width="8.7109375" style="3" customWidth="1"/>
    <col min="47" max="47" width="8.5703125" style="3" customWidth="1"/>
    <col min="48" max="48" width="8.7109375" style="3" customWidth="1"/>
    <col min="49" max="49" width="9.5703125" style="3" customWidth="1"/>
    <col min="50" max="50" width="12.42578125" style="88" customWidth="1"/>
    <col min="51" max="51" width="11.85546875" style="3" customWidth="1"/>
    <col min="52" max="52" width="11.5703125" style="3" customWidth="1"/>
    <col min="53" max="53" width="13.42578125" style="3" customWidth="1"/>
    <col min="54" max="54" width="13.5703125" style="4" customWidth="1"/>
    <col min="55" max="57" width="9.140625" style="4"/>
    <col min="58" max="58" width="25" style="4" customWidth="1"/>
    <col min="59" max="61" width="9.140625" style="4"/>
    <col min="62" max="62" width="23.5703125" style="4" customWidth="1"/>
    <col min="63" max="16384" width="9.140625" style="4"/>
  </cols>
  <sheetData>
    <row r="1" spans="19:54" ht="36.75" customHeight="1" thickBot="1">
      <c r="S1" s="180"/>
      <c r="T1" s="181"/>
      <c r="U1" s="181"/>
      <c r="V1" s="181"/>
      <c r="W1" s="181"/>
      <c r="X1" s="182" t="s">
        <v>0</v>
      </c>
      <c r="Y1" s="183"/>
      <c r="Z1" s="1" t="s">
        <v>1</v>
      </c>
      <c r="AA1" s="2"/>
      <c r="AC1" s="188" t="s">
        <v>2</v>
      </c>
      <c r="AD1" s="189"/>
      <c r="AE1" s="189"/>
      <c r="AF1" s="190" t="s">
        <v>75</v>
      </c>
      <c r="AG1" s="191"/>
      <c r="AH1" s="192"/>
      <c r="AI1" s="193" t="s">
        <v>3</v>
      </c>
      <c r="AJ1" s="194"/>
      <c r="AK1" s="194"/>
      <c r="AL1" s="195"/>
      <c r="AM1" s="196" t="s">
        <v>76</v>
      </c>
      <c r="AN1" s="197"/>
      <c r="AO1" s="197"/>
      <c r="AP1" s="198"/>
      <c r="AQ1" s="203" t="s">
        <v>4</v>
      </c>
      <c r="AR1" s="204"/>
      <c r="AS1" s="204"/>
      <c r="AT1" s="205"/>
      <c r="AU1" s="206" t="s">
        <v>74</v>
      </c>
      <c r="AV1" s="207"/>
      <c r="AW1" s="208"/>
      <c r="AX1" s="211" t="s">
        <v>116</v>
      </c>
      <c r="AY1" s="211"/>
      <c r="AZ1" s="211"/>
      <c r="BA1" s="211"/>
      <c r="BB1" s="211"/>
    </row>
    <row r="2" spans="19:54" ht="36.75" customHeight="1" thickBot="1">
      <c r="S2" s="180"/>
      <c r="T2" s="181"/>
      <c r="U2" s="181"/>
      <c r="V2" s="181"/>
      <c r="W2" s="181"/>
      <c r="X2" s="184"/>
      <c r="Y2" s="185"/>
      <c r="Z2" s="5" t="s">
        <v>5</v>
      </c>
      <c r="AA2" s="89"/>
      <c r="AC2" s="188" t="s">
        <v>2</v>
      </c>
      <c r="AD2" s="189"/>
      <c r="AE2" s="212"/>
      <c r="AF2" s="190" t="s">
        <v>78</v>
      </c>
      <c r="AG2" s="191"/>
      <c r="AH2" s="192"/>
      <c r="AI2" s="193" t="s">
        <v>3</v>
      </c>
      <c r="AJ2" s="194"/>
      <c r="AK2" s="194"/>
      <c r="AL2" s="195"/>
      <c r="AM2" s="202" t="s">
        <v>79</v>
      </c>
      <c r="AN2" s="202"/>
      <c r="AO2" s="202"/>
      <c r="AP2" s="202"/>
      <c r="AQ2" s="203" t="s">
        <v>4</v>
      </c>
      <c r="AR2" s="204"/>
      <c r="AS2" s="204"/>
      <c r="AT2" s="205"/>
      <c r="AU2" s="213" t="s">
        <v>77</v>
      </c>
      <c r="AV2" s="213"/>
      <c r="AW2" s="213"/>
      <c r="AX2" s="211"/>
      <c r="AY2" s="211"/>
      <c r="AZ2" s="211"/>
      <c r="BA2" s="211"/>
      <c r="BB2" s="211"/>
    </row>
    <row r="3" spans="19:54" ht="38.25" customHeight="1" thickBot="1">
      <c r="S3" s="181"/>
      <c r="T3" s="181"/>
      <c r="U3" s="181"/>
      <c r="V3" s="181"/>
      <c r="W3" s="181"/>
      <c r="X3" s="186"/>
      <c r="Y3" s="187"/>
      <c r="Z3" s="90" t="s">
        <v>65</v>
      </c>
      <c r="AA3" s="6"/>
      <c r="AC3" s="188" t="s">
        <v>6</v>
      </c>
      <c r="AD3" s="189"/>
      <c r="AE3" s="212"/>
      <c r="AF3" s="190" t="s">
        <v>81</v>
      </c>
      <c r="AG3" s="191"/>
      <c r="AH3" s="192"/>
      <c r="AI3" s="199" t="s">
        <v>7</v>
      </c>
      <c r="AJ3" s="200"/>
      <c r="AK3" s="200"/>
      <c r="AL3" s="201"/>
      <c r="AM3" s="202" t="s">
        <v>82</v>
      </c>
      <c r="AN3" s="202"/>
      <c r="AO3" s="202"/>
      <c r="AP3" s="202"/>
      <c r="AQ3" s="203" t="s">
        <v>4</v>
      </c>
      <c r="AR3" s="204"/>
      <c r="AS3" s="204"/>
      <c r="AT3" s="214"/>
      <c r="AU3" s="215" t="s">
        <v>80</v>
      </c>
      <c r="AV3" s="216"/>
      <c r="AW3" s="217"/>
      <c r="AX3" s="211"/>
      <c r="AY3" s="211"/>
      <c r="AZ3" s="211"/>
      <c r="BA3" s="211"/>
      <c r="BB3" s="211"/>
    </row>
    <row r="4" spans="19:54" ht="34.5" customHeight="1" thickBot="1">
      <c r="S4" s="225" t="s">
        <v>8</v>
      </c>
      <c r="T4" s="226"/>
      <c r="U4" s="226"/>
      <c r="V4" s="226"/>
      <c r="W4" s="226"/>
      <c r="X4" s="227"/>
      <c r="Y4" s="227"/>
      <c r="Z4" s="228"/>
      <c r="AA4" s="229" t="s">
        <v>9</v>
      </c>
      <c r="AB4" s="230"/>
      <c r="AC4" s="231" t="s">
        <v>10</v>
      </c>
      <c r="AD4" s="232"/>
      <c r="AE4" s="233" t="s">
        <v>11</v>
      </c>
      <c r="AF4" s="234"/>
      <c r="AG4" s="234"/>
      <c r="AH4" s="234"/>
      <c r="AI4" s="234"/>
      <c r="AJ4" s="235"/>
      <c r="AK4" s="7"/>
      <c r="AL4" s="236" t="s">
        <v>12</v>
      </c>
      <c r="AM4" s="237"/>
      <c r="AN4" s="237"/>
      <c r="AO4" s="237"/>
      <c r="AP4" s="237"/>
      <c r="AQ4" s="237"/>
      <c r="AR4" s="8"/>
      <c r="AS4" s="238" t="s">
        <v>13</v>
      </c>
      <c r="AT4" s="239"/>
      <c r="AU4" s="239"/>
      <c r="AV4" s="239"/>
      <c r="AW4" s="240"/>
      <c r="AX4" s="218" t="s">
        <v>14</v>
      </c>
      <c r="AY4" s="219"/>
      <c r="AZ4" s="219"/>
      <c r="BA4" s="219"/>
      <c r="BB4" s="220"/>
    </row>
    <row r="5" spans="19:54" ht="52.5" customHeight="1">
      <c r="S5" s="246" t="s">
        <v>15</v>
      </c>
      <c r="T5" s="248" t="s">
        <v>16</v>
      </c>
      <c r="U5" s="248" t="s">
        <v>17</v>
      </c>
      <c r="V5" s="248" t="s">
        <v>18</v>
      </c>
      <c r="W5" s="248" t="s">
        <v>19</v>
      </c>
      <c r="X5" s="248" t="s">
        <v>20</v>
      </c>
      <c r="Y5" s="248" t="s">
        <v>21</v>
      </c>
      <c r="Z5" s="250" t="s">
        <v>22</v>
      </c>
      <c r="AA5" s="252" t="s">
        <v>23</v>
      </c>
      <c r="AB5" s="270" t="s">
        <v>9</v>
      </c>
      <c r="AC5" s="272" t="s">
        <v>24</v>
      </c>
      <c r="AD5" s="272" t="s">
        <v>25</v>
      </c>
      <c r="AE5" s="274" t="s">
        <v>26</v>
      </c>
      <c r="AF5" s="209" t="s">
        <v>27</v>
      </c>
      <c r="AG5" s="209" t="s">
        <v>28</v>
      </c>
      <c r="AH5" s="263" t="s">
        <v>29</v>
      </c>
      <c r="AI5" s="263" t="s">
        <v>30</v>
      </c>
      <c r="AJ5" s="265" t="s">
        <v>31</v>
      </c>
      <c r="AK5" s="267" t="s">
        <v>32</v>
      </c>
      <c r="AL5" s="268"/>
      <c r="AM5" s="268"/>
      <c r="AN5" s="268"/>
      <c r="AO5" s="268"/>
      <c r="AP5" s="268"/>
      <c r="AQ5" s="268"/>
      <c r="AR5" s="269"/>
      <c r="AS5" s="259" t="s">
        <v>33</v>
      </c>
      <c r="AT5" s="259" t="s">
        <v>34</v>
      </c>
      <c r="AU5" s="259" t="s">
        <v>35</v>
      </c>
      <c r="AV5" s="259" t="s">
        <v>66</v>
      </c>
      <c r="AW5" s="261" t="s">
        <v>36</v>
      </c>
      <c r="AX5" s="252" t="s">
        <v>37</v>
      </c>
      <c r="AY5" s="221" t="s">
        <v>38</v>
      </c>
      <c r="AZ5" s="221" t="s">
        <v>39</v>
      </c>
      <c r="BA5" s="221" t="s">
        <v>40</v>
      </c>
      <c r="BB5" s="223" t="s">
        <v>41</v>
      </c>
    </row>
    <row r="6" spans="19:54" ht="27.95" customHeight="1" thickBot="1">
      <c r="S6" s="247"/>
      <c r="T6" s="249"/>
      <c r="U6" s="249"/>
      <c r="V6" s="249"/>
      <c r="W6" s="249"/>
      <c r="X6" s="249"/>
      <c r="Y6" s="249"/>
      <c r="Z6" s="251"/>
      <c r="AA6" s="253"/>
      <c r="AB6" s="271"/>
      <c r="AC6" s="273"/>
      <c r="AD6" s="273"/>
      <c r="AE6" s="275"/>
      <c r="AF6" s="210"/>
      <c r="AG6" s="210"/>
      <c r="AH6" s="264"/>
      <c r="AI6" s="264"/>
      <c r="AJ6" s="266"/>
      <c r="AK6" s="9">
        <v>1</v>
      </c>
      <c r="AL6" s="10">
        <v>2</v>
      </c>
      <c r="AM6" s="10">
        <v>3</v>
      </c>
      <c r="AN6" s="10">
        <v>4</v>
      </c>
      <c r="AO6" s="10">
        <v>5</v>
      </c>
      <c r="AP6" s="10">
        <v>6</v>
      </c>
      <c r="AQ6" s="10">
        <v>12</v>
      </c>
      <c r="AR6" s="11"/>
      <c r="AS6" s="260"/>
      <c r="AT6" s="260"/>
      <c r="AU6" s="260"/>
      <c r="AV6" s="260"/>
      <c r="AW6" s="262"/>
      <c r="AX6" s="253"/>
      <c r="AY6" s="222"/>
      <c r="AZ6" s="222"/>
      <c r="BA6" s="222"/>
      <c r="BB6" s="224"/>
    </row>
    <row r="7" spans="19:54" s="34" customFormat="1" ht="48" customHeight="1" thickBot="1">
      <c r="S7" s="12">
        <v>1</v>
      </c>
      <c r="T7" s="241" t="s">
        <v>1</v>
      </c>
      <c r="U7" s="13"/>
      <c r="V7" s="14"/>
      <c r="W7" s="15"/>
      <c r="X7" s="16"/>
      <c r="Y7" s="17"/>
      <c r="Z7" s="18">
        <f t="shared" ref="Z7:Z15" si="0">IF(Y7&lt;X7,1+Y7-X7,Y7-X7)</f>
        <v>0</v>
      </c>
      <c r="AA7" s="19"/>
      <c r="AB7" s="20"/>
      <c r="AC7" s="21"/>
      <c r="AD7" s="100"/>
      <c r="AE7" s="22"/>
      <c r="AF7" s="23"/>
      <c r="AG7" s="23"/>
      <c r="AH7" s="23"/>
      <c r="AI7" s="23"/>
      <c r="AJ7" s="24"/>
      <c r="AK7" s="25"/>
      <c r="AL7" s="26"/>
      <c r="AM7" s="26"/>
      <c r="AN7" s="26"/>
      <c r="AO7" s="26"/>
      <c r="AP7" s="26"/>
      <c r="AQ7" s="26"/>
      <c r="AR7" s="27"/>
      <c r="AS7" s="28"/>
      <c r="AT7" s="13"/>
      <c r="AU7" s="13"/>
      <c r="AV7" s="13"/>
      <c r="AW7" s="29"/>
      <c r="AX7" s="30">
        <f t="shared" ref="AX7:AX15" si="1">SUM(AY7:BB7)</f>
        <v>0</v>
      </c>
      <c r="AY7" s="31">
        <v>0</v>
      </c>
      <c r="AZ7" s="32">
        <v>0</v>
      </c>
      <c r="BA7" s="31">
        <v>0</v>
      </c>
      <c r="BB7" s="33">
        <f t="shared" ref="BB7:BB15" si="2">SUM(($AQ$6*AQ7+$AP$6*AP7+$AN$6*AN7+$AM$6*$AM7+$AL$6*AL7+$AK$6*AK7+$AO$6*AO7+$AR$6*AR7)*175)</f>
        <v>0</v>
      </c>
    </row>
    <row r="8" spans="19:54" s="34" customFormat="1" ht="48" customHeight="1" thickBot="1">
      <c r="S8" s="12">
        <v>2</v>
      </c>
      <c r="T8" s="242"/>
      <c r="U8" s="35"/>
      <c r="V8" s="140"/>
      <c r="W8" s="140"/>
      <c r="X8" s="36"/>
      <c r="Y8" s="36"/>
      <c r="Z8" s="37">
        <f t="shared" si="0"/>
        <v>0</v>
      </c>
      <c r="AA8" s="38"/>
      <c r="AB8" s="39"/>
      <c r="AC8" s="40"/>
      <c r="AD8" s="101"/>
      <c r="AE8" s="41"/>
      <c r="AF8" s="42"/>
      <c r="AG8" s="42"/>
      <c r="AH8" s="42"/>
      <c r="AI8" s="42"/>
      <c r="AJ8" s="43"/>
      <c r="AK8" s="44"/>
      <c r="AL8" s="45"/>
      <c r="AM8" s="45"/>
      <c r="AN8" s="45"/>
      <c r="AO8" s="45"/>
      <c r="AP8" s="45"/>
      <c r="AQ8" s="45"/>
      <c r="AR8" s="46"/>
      <c r="AS8" s="47"/>
      <c r="AT8" s="35"/>
      <c r="AU8" s="35"/>
      <c r="AV8" s="35"/>
      <c r="AW8" s="48"/>
      <c r="AX8" s="49">
        <f t="shared" si="1"/>
        <v>0</v>
      </c>
      <c r="AY8" s="50">
        <v>0</v>
      </c>
      <c r="AZ8" s="51">
        <v>0</v>
      </c>
      <c r="BA8" s="52">
        <v>0</v>
      </c>
      <c r="BB8" s="53">
        <f t="shared" si="2"/>
        <v>0</v>
      </c>
    </row>
    <row r="9" spans="19:54" s="34" customFormat="1" ht="48" customHeight="1" thickBot="1">
      <c r="S9" s="12">
        <v>3</v>
      </c>
      <c r="T9" s="242"/>
      <c r="U9" s="35"/>
      <c r="V9" s="140"/>
      <c r="W9" s="140"/>
      <c r="X9" s="36"/>
      <c r="Y9" s="36"/>
      <c r="Z9" s="37">
        <f t="shared" si="0"/>
        <v>0</v>
      </c>
      <c r="AA9" s="38"/>
      <c r="AB9" s="39"/>
      <c r="AC9" s="40"/>
      <c r="AD9" s="101"/>
      <c r="AE9" s="41"/>
      <c r="AF9" s="42"/>
      <c r="AG9" s="42"/>
      <c r="AH9" s="42"/>
      <c r="AI9" s="42"/>
      <c r="AJ9" s="43"/>
      <c r="AK9" s="44"/>
      <c r="AL9" s="45"/>
      <c r="AM9" s="45"/>
      <c r="AN9" s="45"/>
      <c r="AO9" s="45"/>
      <c r="AP9" s="45"/>
      <c r="AQ9" s="45"/>
      <c r="AR9" s="46"/>
      <c r="AS9" s="47"/>
      <c r="AT9" s="35"/>
      <c r="AU9" s="35"/>
      <c r="AV9" s="35"/>
      <c r="AW9" s="48"/>
      <c r="AX9" s="49">
        <f t="shared" si="1"/>
        <v>0</v>
      </c>
      <c r="AY9" s="51">
        <v>0</v>
      </c>
      <c r="AZ9" s="52">
        <v>0</v>
      </c>
      <c r="BA9" s="51">
        <v>0</v>
      </c>
      <c r="BB9" s="53">
        <f t="shared" si="2"/>
        <v>0</v>
      </c>
    </row>
    <row r="10" spans="19:54" s="34" customFormat="1" ht="48" customHeight="1" thickBot="1">
      <c r="S10" s="12">
        <v>4</v>
      </c>
      <c r="T10" s="243" t="s">
        <v>5</v>
      </c>
      <c r="U10" s="35"/>
      <c r="V10" s="140"/>
      <c r="W10" s="140"/>
      <c r="X10" s="36"/>
      <c r="Y10" s="36"/>
      <c r="Z10" s="37">
        <f t="shared" si="0"/>
        <v>0</v>
      </c>
      <c r="AA10" s="38"/>
      <c r="AB10" s="39"/>
      <c r="AC10" s="40"/>
      <c r="AD10" s="101"/>
      <c r="AE10" s="41"/>
      <c r="AF10" s="42"/>
      <c r="AG10" s="42"/>
      <c r="AH10" s="42"/>
      <c r="AI10" s="42"/>
      <c r="AJ10" s="43"/>
      <c r="AK10" s="44"/>
      <c r="AL10" s="45"/>
      <c r="AM10" s="45"/>
      <c r="AN10" s="45"/>
      <c r="AO10" s="45"/>
      <c r="AP10" s="45"/>
      <c r="AQ10" s="45"/>
      <c r="AR10" s="46"/>
      <c r="AS10" s="47"/>
      <c r="AT10" s="35"/>
      <c r="AU10" s="35"/>
      <c r="AV10" s="35"/>
      <c r="AW10" s="48"/>
      <c r="AX10" s="49">
        <f t="shared" si="1"/>
        <v>0</v>
      </c>
      <c r="AY10" s="51">
        <v>0</v>
      </c>
      <c r="AZ10" s="52">
        <v>0</v>
      </c>
      <c r="BA10" s="51">
        <v>0</v>
      </c>
      <c r="BB10" s="53">
        <f t="shared" si="2"/>
        <v>0</v>
      </c>
    </row>
    <row r="11" spans="19:54" s="34" customFormat="1" ht="48" customHeight="1" thickBot="1">
      <c r="S11" s="12">
        <v>5</v>
      </c>
      <c r="T11" s="243"/>
      <c r="U11" s="35"/>
      <c r="V11" s="140"/>
      <c r="W11" s="140"/>
      <c r="X11" s="36"/>
      <c r="Y11" s="120"/>
      <c r="Z11" s="37">
        <f t="shared" si="0"/>
        <v>0</v>
      </c>
      <c r="AA11" s="38"/>
      <c r="AB11" s="39"/>
      <c r="AC11" s="40"/>
      <c r="AD11" s="101"/>
      <c r="AE11" s="41"/>
      <c r="AF11" s="42"/>
      <c r="AG11" s="42"/>
      <c r="AH11" s="42"/>
      <c r="AI11" s="42"/>
      <c r="AJ11" s="43"/>
      <c r="AK11" s="44"/>
      <c r="AL11" s="45"/>
      <c r="AM11" s="45"/>
      <c r="AN11" s="45"/>
      <c r="AO11" s="45"/>
      <c r="AP11" s="45"/>
      <c r="AQ11" s="45"/>
      <c r="AR11" s="46"/>
      <c r="AS11" s="47"/>
      <c r="AT11" s="35"/>
      <c r="AU11" s="35"/>
      <c r="AV11" s="35"/>
      <c r="AW11" s="48"/>
      <c r="AX11" s="49">
        <f t="shared" si="1"/>
        <v>0</v>
      </c>
      <c r="AY11" s="50">
        <v>0</v>
      </c>
      <c r="AZ11" s="51">
        <v>0</v>
      </c>
      <c r="BA11" s="52">
        <v>0</v>
      </c>
      <c r="BB11" s="53">
        <f t="shared" si="2"/>
        <v>0</v>
      </c>
    </row>
    <row r="12" spans="19:54" s="34" customFormat="1" ht="48" customHeight="1" thickBot="1">
      <c r="S12" s="12">
        <v>10</v>
      </c>
      <c r="T12" s="243"/>
      <c r="U12" s="13"/>
      <c r="V12" s="14"/>
      <c r="W12" s="14"/>
      <c r="X12" s="54"/>
      <c r="Y12" s="54"/>
      <c r="Z12" s="55">
        <f t="shared" si="0"/>
        <v>0</v>
      </c>
      <c r="AA12" s="19"/>
      <c r="AB12" s="20"/>
      <c r="AC12" s="21"/>
      <c r="AD12" s="100"/>
      <c r="AE12" s="22"/>
      <c r="AF12" s="23"/>
      <c r="AG12" s="23"/>
      <c r="AH12" s="23"/>
      <c r="AI12" s="23"/>
      <c r="AJ12" s="24"/>
      <c r="AK12" s="25"/>
      <c r="AL12" s="26"/>
      <c r="AM12" s="26"/>
      <c r="AN12" s="26"/>
      <c r="AO12" s="26"/>
      <c r="AP12" s="26"/>
      <c r="AQ12" s="26"/>
      <c r="AR12" s="27"/>
      <c r="AS12" s="28"/>
      <c r="AT12" s="13"/>
      <c r="AU12" s="13"/>
      <c r="AV12" s="13"/>
      <c r="AW12" s="29"/>
      <c r="AX12" s="30">
        <f t="shared" si="1"/>
        <v>0</v>
      </c>
      <c r="AY12" s="31">
        <v>0</v>
      </c>
      <c r="AZ12" s="32">
        <v>0</v>
      </c>
      <c r="BA12" s="31">
        <v>0</v>
      </c>
      <c r="BB12" s="56">
        <f t="shared" si="2"/>
        <v>0</v>
      </c>
    </row>
    <row r="13" spans="19:54" s="34" customFormat="1" ht="48" customHeight="1" thickBot="1">
      <c r="S13" s="12">
        <v>11</v>
      </c>
      <c r="T13" s="244" t="s">
        <v>65</v>
      </c>
      <c r="U13" s="35"/>
      <c r="V13" s="140"/>
      <c r="W13" s="140"/>
      <c r="X13" s="36"/>
      <c r="Y13" s="36"/>
      <c r="Z13" s="37">
        <f t="shared" si="0"/>
        <v>0</v>
      </c>
      <c r="AA13" s="38"/>
      <c r="AB13" s="39"/>
      <c r="AC13" s="40"/>
      <c r="AD13" s="101"/>
      <c r="AE13" s="41"/>
      <c r="AF13" s="42"/>
      <c r="AG13" s="42"/>
      <c r="AH13" s="42"/>
      <c r="AI13" s="42"/>
      <c r="AJ13" s="43"/>
      <c r="AK13" s="44"/>
      <c r="AL13" s="45"/>
      <c r="AM13" s="45"/>
      <c r="AN13" s="45"/>
      <c r="AO13" s="45"/>
      <c r="AP13" s="45"/>
      <c r="AQ13" s="45"/>
      <c r="AR13" s="46"/>
      <c r="AS13" s="47"/>
      <c r="AT13" s="35"/>
      <c r="AU13" s="35"/>
      <c r="AV13" s="35"/>
      <c r="AW13" s="48"/>
      <c r="AX13" s="49">
        <f t="shared" si="1"/>
        <v>0</v>
      </c>
      <c r="AY13" s="50">
        <v>0</v>
      </c>
      <c r="AZ13" s="51">
        <v>0</v>
      </c>
      <c r="BA13" s="52">
        <v>0</v>
      </c>
      <c r="BB13" s="57">
        <f t="shared" si="2"/>
        <v>0</v>
      </c>
    </row>
    <row r="14" spans="19:54" s="34" customFormat="1" ht="48" customHeight="1" thickBot="1">
      <c r="S14" s="12">
        <v>12</v>
      </c>
      <c r="T14" s="244"/>
      <c r="U14" s="35"/>
      <c r="V14" s="140"/>
      <c r="W14" s="140"/>
      <c r="X14" s="36"/>
      <c r="Y14" s="36"/>
      <c r="Z14" s="37">
        <f t="shared" si="0"/>
        <v>0</v>
      </c>
      <c r="AA14" s="38"/>
      <c r="AB14" s="39"/>
      <c r="AC14" s="40"/>
      <c r="AD14" s="101"/>
      <c r="AE14" s="41"/>
      <c r="AF14" s="42"/>
      <c r="AG14" s="42"/>
      <c r="AH14" s="42"/>
      <c r="AI14" s="42"/>
      <c r="AJ14" s="43"/>
      <c r="AK14" s="44"/>
      <c r="AL14" s="45"/>
      <c r="AM14" s="45"/>
      <c r="AN14" s="45"/>
      <c r="AO14" s="45"/>
      <c r="AP14" s="45"/>
      <c r="AQ14" s="45"/>
      <c r="AR14" s="46"/>
      <c r="AS14" s="47"/>
      <c r="AT14" s="35"/>
      <c r="AU14" s="35"/>
      <c r="AV14" s="35"/>
      <c r="AW14" s="48"/>
      <c r="AX14" s="49">
        <f t="shared" si="1"/>
        <v>0</v>
      </c>
      <c r="AY14" s="51">
        <v>0</v>
      </c>
      <c r="AZ14" s="52">
        <v>0</v>
      </c>
      <c r="BA14" s="51">
        <v>0</v>
      </c>
      <c r="BB14" s="57">
        <f t="shared" si="2"/>
        <v>0</v>
      </c>
    </row>
    <row r="15" spans="19:54" s="34" customFormat="1" ht="48" customHeight="1" thickBot="1">
      <c r="S15" s="12">
        <v>13</v>
      </c>
      <c r="T15" s="245"/>
      <c r="U15" s="58"/>
      <c r="V15" s="59"/>
      <c r="W15" s="59"/>
      <c r="X15" s="60"/>
      <c r="Y15" s="60"/>
      <c r="Z15" s="61">
        <f t="shared" si="0"/>
        <v>0</v>
      </c>
      <c r="AA15" s="62"/>
      <c r="AB15" s="63"/>
      <c r="AC15" s="64"/>
      <c r="AD15" s="102"/>
      <c r="AE15" s="65"/>
      <c r="AF15" s="66"/>
      <c r="AG15" s="67"/>
      <c r="AH15" s="67"/>
      <c r="AI15" s="67"/>
      <c r="AJ15" s="66"/>
      <c r="AK15" s="68"/>
      <c r="AL15" s="69"/>
      <c r="AM15" s="69"/>
      <c r="AN15" s="69"/>
      <c r="AO15" s="69"/>
      <c r="AP15" s="69"/>
      <c r="AQ15" s="69"/>
      <c r="AR15" s="70"/>
      <c r="AS15" s="71"/>
      <c r="AT15" s="35"/>
      <c r="AU15" s="35"/>
      <c r="AV15" s="35"/>
      <c r="AW15" s="48"/>
      <c r="AX15" s="49">
        <f t="shared" si="1"/>
        <v>0</v>
      </c>
      <c r="AY15" s="50">
        <v>0</v>
      </c>
      <c r="AZ15" s="51">
        <v>0</v>
      </c>
      <c r="BA15" s="52">
        <v>0</v>
      </c>
      <c r="BB15" s="57">
        <f t="shared" si="2"/>
        <v>0</v>
      </c>
    </row>
    <row r="16" spans="19:54" s="72" customFormat="1" ht="50.1" customHeight="1">
      <c r="S16" s="254" t="s">
        <v>42</v>
      </c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5" t="s">
        <v>53</v>
      </c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6" t="s">
        <v>43</v>
      </c>
      <c r="AU16" s="257"/>
      <c r="AV16" s="257"/>
      <c r="AW16" s="257"/>
      <c r="AX16" s="257"/>
      <c r="AY16" s="257"/>
      <c r="AZ16" s="257"/>
      <c r="BA16" s="257"/>
      <c r="BB16" s="258"/>
    </row>
    <row r="17" spans="18:62" s="72" customFormat="1" ht="60" customHeight="1">
      <c r="S17" s="73" t="s">
        <v>15</v>
      </c>
      <c r="T17" s="300" t="s">
        <v>44</v>
      </c>
      <c r="U17" s="301"/>
      <c r="V17" s="302" t="s">
        <v>45</v>
      </c>
      <c r="W17" s="303"/>
      <c r="X17" s="74" t="s">
        <v>46</v>
      </c>
      <c r="Y17" s="75" t="s">
        <v>67</v>
      </c>
      <c r="Z17" s="304" t="s">
        <v>47</v>
      </c>
      <c r="AA17" s="304"/>
      <c r="AB17" s="304"/>
      <c r="AC17" s="304"/>
      <c r="AD17" s="304"/>
      <c r="AE17" s="304"/>
      <c r="AF17" s="304"/>
      <c r="AG17" s="305" t="s">
        <v>48</v>
      </c>
      <c r="AH17" s="306"/>
      <c r="AI17" s="307" t="s">
        <v>49</v>
      </c>
      <c r="AJ17" s="307"/>
      <c r="AK17" s="92"/>
      <c r="AL17" s="308" t="s">
        <v>68</v>
      </c>
      <c r="AM17" s="309"/>
      <c r="AN17" s="310"/>
      <c r="AO17" s="288" t="s">
        <v>50</v>
      </c>
      <c r="AP17" s="289"/>
      <c r="AQ17" s="289"/>
      <c r="AR17" s="289"/>
      <c r="AS17" s="289"/>
      <c r="AT17" s="76" t="s">
        <v>51</v>
      </c>
      <c r="AU17" s="290" t="s">
        <v>33</v>
      </c>
      <c r="AV17" s="291"/>
      <c r="AW17" s="77" t="s">
        <v>34</v>
      </c>
      <c r="AX17" s="77" t="s">
        <v>66</v>
      </c>
      <c r="AY17" s="77" t="s">
        <v>35</v>
      </c>
      <c r="AZ17" s="77" t="s">
        <v>36</v>
      </c>
      <c r="BA17" s="292" t="s">
        <v>52</v>
      </c>
      <c r="BB17" s="293"/>
    </row>
    <row r="18" spans="18:62" ht="60.75" customHeight="1">
      <c r="S18" s="78">
        <v>1</v>
      </c>
      <c r="T18" s="294"/>
      <c r="U18" s="295"/>
      <c r="V18" s="280"/>
      <c r="W18" s="281"/>
      <c r="X18" s="79" t="str">
        <f>TEXT(MOD(V18-T18,1),"h:mm")</f>
        <v>0:00</v>
      </c>
      <c r="Y18" s="80"/>
      <c r="Z18" s="282"/>
      <c r="AA18" s="282"/>
      <c r="AB18" s="282"/>
      <c r="AC18" s="282"/>
      <c r="AD18" s="282"/>
      <c r="AE18" s="282"/>
      <c r="AF18" s="282"/>
      <c r="AG18" s="296">
        <f>SUM(AX7:AX9)</f>
        <v>0</v>
      </c>
      <c r="AH18" s="297"/>
      <c r="AI18" s="298">
        <f>SUM(AX10:AX12)</f>
        <v>0</v>
      </c>
      <c r="AJ18" s="298"/>
      <c r="AK18" s="93"/>
      <c r="AL18" s="298">
        <f>SUM(AX13:AX15)</f>
        <v>0</v>
      </c>
      <c r="AM18" s="298"/>
      <c r="AN18" s="298"/>
      <c r="AO18" s="299">
        <f>SUM(AG18:AN18)</f>
        <v>0</v>
      </c>
      <c r="AP18" s="299"/>
      <c r="AQ18" s="299"/>
      <c r="AR18" s="299"/>
      <c r="AS18" s="299"/>
      <c r="AT18" s="81" t="s">
        <v>1</v>
      </c>
      <c r="AU18" s="276">
        <f>SUM(AS7:AS9)</f>
        <v>0</v>
      </c>
      <c r="AV18" s="277"/>
      <c r="AW18" s="82">
        <f>SUM(AT7:AT9)</f>
        <v>0</v>
      </c>
      <c r="AX18" s="82">
        <f>SUM(AV7:AV9)</f>
        <v>0</v>
      </c>
      <c r="AY18" s="82">
        <f>SUM(AU7:AU9)</f>
        <v>0</v>
      </c>
      <c r="AZ18" s="82">
        <f>SUM(AW7:AW9)</f>
        <v>0</v>
      </c>
      <c r="BA18" s="276">
        <f>SUM(AU18:AZ18)</f>
        <v>0</v>
      </c>
      <c r="BB18" s="277"/>
    </row>
    <row r="19" spans="18:62" ht="60.75" customHeight="1">
      <c r="S19" s="78">
        <v>2</v>
      </c>
      <c r="T19" s="278"/>
      <c r="U19" s="279"/>
      <c r="V19" s="280"/>
      <c r="W19" s="281"/>
      <c r="X19" s="79" t="str">
        <f>TEXT(MOD(V19-T19,1),"h:mm")</f>
        <v>0:00</v>
      </c>
      <c r="Y19" s="80"/>
      <c r="Z19" s="282"/>
      <c r="AA19" s="282"/>
      <c r="AB19" s="282"/>
      <c r="AC19" s="282"/>
      <c r="AD19" s="282"/>
      <c r="AE19" s="282"/>
      <c r="AF19" s="282"/>
      <c r="AG19" s="283" t="s">
        <v>41</v>
      </c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5"/>
      <c r="AT19" s="83" t="s">
        <v>5</v>
      </c>
      <c r="AU19" s="286">
        <f>SUM(AS10:AS12)</f>
        <v>0</v>
      </c>
      <c r="AV19" s="287"/>
      <c r="AW19" s="84">
        <f>SUM(AT10:AT12)</f>
        <v>0</v>
      </c>
      <c r="AX19" s="84">
        <f>SUM(AV10:AV12)</f>
        <v>0</v>
      </c>
      <c r="AY19" s="84">
        <f>SUM(AU10:AU12)</f>
        <v>0</v>
      </c>
      <c r="AZ19" s="84">
        <f>SUM(AW10:AW12)</f>
        <v>0</v>
      </c>
      <c r="BA19" s="286">
        <f>SUM(AU19:AZ19)</f>
        <v>0</v>
      </c>
      <c r="BB19" s="287"/>
    </row>
    <row r="20" spans="18:62" ht="60.75" customHeight="1">
      <c r="S20" s="78">
        <v>3</v>
      </c>
      <c r="T20" s="278"/>
      <c r="U20" s="279"/>
      <c r="V20" s="280"/>
      <c r="W20" s="281"/>
      <c r="X20" s="79" t="str">
        <f>TEXT(MOD(V20-T20,1),"h:mm")</f>
        <v>0:00</v>
      </c>
      <c r="Y20" s="80"/>
      <c r="Z20" s="327"/>
      <c r="AA20" s="327"/>
      <c r="AB20" s="327"/>
      <c r="AC20" s="327"/>
      <c r="AD20" s="327"/>
      <c r="AE20" s="327"/>
      <c r="AF20" s="327"/>
      <c r="AG20" s="311">
        <f>SUM(BB7:BB9)</f>
        <v>0</v>
      </c>
      <c r="AH20" s="328"/>
      <c r="AI20" s="311">
        <f>SUM(BB10:BB12)</f>
        <v>0</v>
      </c>
      <c r="AJ20" s="328"/>
      <c r="AK20" s="94"/>
      <c r="AL20" s="311">
        <f>SUM(BB13:BB15)</f>
        <v>0</v>
      </c>
      <c r="AM20" s="329"/>
      <c r="AN20" s="328"/>
      <c r="AO20" s="311">
        <f>SUM(AG20:AN20)</f>
        <v>0</v>
      </c>
      <c r="AP20" s="312"/>
      <c r="AQ20" s="312"/>
      <c r="AR20" s="312"/>
      <c r="AS20" s="313"/>
      <c r="AT20" s="91" t="s">
        <v>65</v>
      </c>
      <c r="AU20" s="314">
        <f>SUM(AS13:AS15)</f>
        <v>0</v>
      </c>
      <c r="AV20" s="315"/>
      <c r="AW20" s="99">
        <f>SUM(AT13:AT15)</f>
        <v>0</v>
      </c>
      <c r="AX20" s="99">
        <f>SUM(AV13:AV15)</f>
        <v>0</v>
      </c>
      <c r="AY20" s="99">
        <f>SUM(AU13:AU15)</f>
        <v>0</v>
      </c>
      <c r="AZ20" s="99">
        <f>SUM(AW13:AW15)</f>
        <v>0</v>
      </c>
      <c r="BA20" s="316">
        <f>SUM(AU20:AZ20)</f>
        <v>0</v>
      </c>
      <c r="BB20" s="317"/>
    </row>
    <row r="21" spans="18:62" ht="60.75" customHeight="1">
      <c r="S21" s="78">
        <v>4</v>
      </c>
      <c r="T21" s="278"/>
      <c r="U21" s="279"/>
      <c r="V21" s="280"/>
      <c r="W21" s="281"/>
      <c r="X21" s="79" t="str">
        <f>TEXT(MOD(V21-T21,1),"h:mm")</f>
        <v>0:00</v>
      </c>
      <c r="Y21" s="80"/>
      <c r="Z21" s="318"/>
      <c r="AA21" s="318"/>
      <c r="AB21" s="318"/>
      <c r="AC21" s="318"/>
      <c r="AD21" s="318"/>
      <c r="AE21" s="318"/>
      <c r="AF21" s="318"/>
      <c r="AG21" s="319" t="s">
        <v>54</v>
      </c>
      <c r="AH21" s="320"/>
      <c r="AI21" s="320"/>
      <c r="AJ21" s="320"/>
      <c r="AK21" s="320"/>
      <c r="AL21" s="320"/>
      <c r="AM21" s="320"/>
      <c r="AN21" s="320"/>
      <c r="AO21" s="320"/>
      <c r="AP21" s="320"/>
      <c r="AQ21" s="320"/>
      <c r="AR21" s="320"/>
      <c r="AS21" s="321"/>
      <c r="AT21" s="322" t="s">
        <v>55</v>
      </c>
      <c r="AU21" s="323"/>
      <c r="AV21" s="324"/>
      <c r="AW21" s="325">
        <v>1680</v>
      </c>
      <c r="AX21" s="326"/>
      <c r="AY21" s="322" t="s">
        <v>56</v>
      </c>
      <c r="AZ21" s="324"/>
      <c r="BA21" s="330">
        <v>1628</v>
      </c>
      <c r="BB21" s="331"/>
    </row>
    <row r="22" spans="18:62" ht="54" customHeight="1">
      <c r="S22" s="78">
        <v>5</v>
      </c>
      <c r="T22" s="278"/>
      <c r="U22" s="279"/>
      <c r="V22" s="280"/>
      <c r="W22" s="281"/>
      <c r="X22" s="79" t="str">
        <f>TEXT(MOD(V22-T22,1),"h:mm")</f>
        <v>0:00</v>
      </c>
      <c r="Y22" s="80"/>
      <c r="Z22" s="318"/>
      <c r="AA22" s="318"/>
      <c r="AB22" s="318"/>
      <c r="AC22" s="318"/>
      <c r="AD22" s="318"/>
      <c r="AE22" s="318"/>
      <c r="AF22" s="318"/>
      <c r="AG22" s="357">
        <f>SUM(AY7:BA9)</f>
        <v>0</v>
      </c>
      <c r="AH22" s="357"/>
      <c r="AI22" s="298">
        <f>SUM(AY10:BA12)</f>
        <v>0</v>
      </c>
      <c r="AJ22" s="298"/>
      <c r="AK22" s="95"/>
      <c r="AL22" s="358">
        <f>SUM(AY13:BA15)</f>
        <v>0</v>
      </c>
      <c r="AM22" s="358"/>
      <c r="AN22" s="359"/>
      <c r="AO22" s="360">
        <f>SUM(AG22:AN22)</f>
        <v>0</v>
      </c>
      <c r="AP22" s="361"/>
      <c r="AQ22" s="361"/>
      <c r="AR22" s="361"/>
      <c r="AS22" s="362"/>
      <c r="AT22" s="98" t="s">
        <v>69</v>
      </c>
      <c r="AU22" s="363" t="s">
        <v>48</v>
      </c>
      <c r="AV22" s="364"/>
      <c r="AW22" s="365" t="s">
        <v>49</v>
      </c>
      <c r="AX22" s="366"/>
      <c r="AY22" s="332" t="s">
        <v>68</v>
      </c>
      <c r="AZ22" s="333"/>
      <c r="BA22" s="334" t="s">
        <v>57</v>
      </c>
      <c r="BB22" s="335"/>
    </row>
    <row r="23" spans="18:62" ht="59.25" customHeight="1">
      <c r="S23" s="336" t="s">
        <v>61</v>
      </c>
      <c r="T23" s="337"/>
      <c r="U23" s="337"/>
      <c r="V23" s="337"/>
      <c r="W23" s="338"/>
      <c r="X23" s="85">
        <f>SUM(X18+X19+X20+X21+X22)</f>
        <v>0</v>
      </c>
      <c r="Y23" s="141" t="s">
        <v>62</v>
      </c>
      <c r="Z23" s="86"/>
      <c r="AA23" s="87"/>
      <c r="AB23" s="87"/>
      <c r="AC23" s="339" t="s">
        <v>63</v>
      </c>
      <c r="AD23" s="339"/>
      <c r="AE23" s="340"/>
      <c r="AF23" s="341"/>
      <c r="AG23" s="342" t="s">
        <v>22</v>
      </c>
      <c r="AH23" s="343"/>
      <c r="AI23" s="344"/>
      <c r="AJ23" s="345" t="s">
        <v>48</v>
      </c>
      <c r="AK23" s="346"/>
      <c r="AL23" s="346"/>
      <c r="AM23" s="347"/>
      <c r="AN23" s="348" t="s">
        <v>49</v>
      </c>
      <c r="AO23" s="348"/>
      <c r="AP23" s="348"/>
      <c r="AQ23" s="349" t="s">
        <v>68</v>
      </c>
      <c r="AR23" s="350"/>
      <c r="AS23" s="351"/>
      <c r="AT23" s="96" t="s">
        <v>60</v>
      </c>
      <c r="AU23" s="352">
        <f>SUM(AQ7:AQ9)</f>
        <v>0</v>
      </c>
      <c r="AV23" s="353"/>
      <c r="AW23" s="352">
        <f>SUM(AQ10:AQ12)</f>
        <v>0</v>
      </c>
      <c r="AX23" s="354"/>
      <c r="AY23" s="352">
        <f>SUM(AQ13:AQ15)</f>
        <v>0</v>
      </c>
      <c r="AZ23" s="353"/>
      <c r="BA23" s="355">
        <f>SUM(AU23:AZ23)</f>
        <v>0</v>
      </c>
      <c r="BB23" s="356"/>
    </row>
    <row r="24" spans="18:62" ht="57" customHeight="1">
      <c r="S24" s="367"/>
      <c r="T24" s="368"/>
      <c r="U24" s="368"/>
      <c r="V24" s="368"/>
      <c r="W24" s="369"/>
      <c r="X24" s="373" t="s">
        <v>73</v>
      </c>
      <c r="Y24" s="104" t="s">
        <v>70</v>
      </c>
      <c r="Z24" s="105" t="s">
        <v>71</v>
      </c>
      <c r="AA24" s="103"/>
      <c r="AB24" s="103"/>
      <c r="AC24" s="375" t="s">
        <v>72</v>
      </c>
      <c r="AD24" s="376"/>
      <c r="AE24" s="377" t="s">
        <v>57</v>
      </c>
      <c r="AF24" s="378"/>
      <c r="AG24" s="379" t="s">
        <v>58</v>
      </c>
      <c r="AH24" s="380"/>
      <c r="AI24" s="381"/>
      <c r="AJ24" s="382">
        <f>AVERAGE(Z7)</f>
        <v>0</v>
      </c>
      <c r="AK24" s="383"/>
      <c r="AL24" s="383"/>
      <c r="AM24" s="383"/>
      <c r="AN24" s="382">
        <f>AVERAGE(Z10)</f>
        <v>0</v>
      </c>
      <c r="AO24" s="383"/>
      <c r="AP24" s="383"/>
      <c r="AQ24" s="382">
        <f>AVERAGE(Z13:Z14)</f>
        <v>0</v>
      </c>
      <c r="AR24" s="383"/>
      <c r="AS24" s="383"/>
      <c r="AT24" s="97" t="s">
        <v>64</v>
      </c>
      <c r="AU24" s="387">
        <f>SUM(AL7:AP9)</f>
        <v>0</v>
      </c>
      <c r="AV24" s="388"/>
      <c r="AW24" s="387">
        <f>SUM(AL10:AP12)</f>
        <v>0</v>
      </c>
      <c r="AX24" s="388"/>
      <c r="AY24" s="387">
        <f>SUM(AL13:AP15)</f>
        <v>0</v>
      </c>
      <c r="AZ24" s="388"/>
      <c r="BA24" s="389">
        <f>SUM(AU24:AZ24)</f>
        <v>0</v>
      </c>
      <c r="BB24" s="390"/>
    </row>
    <row r="25" spans="18:62" ht="52.5" customHeight="1">
      <c r="S25" s="370"/>
      <c r="T25" s="371"/>
      <c r="U25" s="371"/>
      <c r="V25" s="371"/>
      <c r="W25" s="372"/>
      <c r="X25" s="374"/>
      <c r="Y25" s="106">
        <f>SUM(AD7:AD9)</f>
        <v>0</v>
      </c>
      <c r="Z25" s="106">
        <f>SUM(AD10:AD12)</f>
        <v>0</v>
      </c>
      <c r="AA25" s="107"/>
      <c r="AB25" s="107"/>
      <c r="AC25" s="391">
        <f>SUM(AD13:AD15)</f>
        <v>0</v>
      </c>
      <c r="AD25" s="392"/>
      <c r="AE25" s="393">
        <f>SUM(Y25:AD25)</f>
        <v>0</v>
      </c>
      <c r="AF25" s="394"/>
      <c r="AG25" s="379" t="s">
        <v>59</v>
      </c>
      <c r="AH25" s="380"/>
      <c r="AI25" s="381"/>
      <c r="AJ25" s="382">
        <f>SUM(Z7:Z9)</f>
        <v>0</v>
      </c>
      <c r="AK25" s="383"/>
      <c r="AL25" s="383"/>
      <c r="AM25" s="383"/>
      <c r="AN25" s="382">
        <f>SUM(Z10:Z12)</f>
        <v>0</v>
      </c>
      <c r="AO25" s="383"/>
      <c r="AP25" s="383"/>
      <c r="AQ25" s="382">
        <f>SUM(Z13:Z15)</f>
        <v>0</v>
      </c>
      <c r="AR25" s="383"/>
      <c r="AS25" s="383"/>
      <c r="AT25" s="384"/>
      <c r="AU25" s="385"/>
      <c r="AV25" s="385"/>
      <c r="AW25" s="385"/>
      <c r="AX25" s="385"/>
      <c r="AY25" s="385"/>
      <c r="AZ25" s="385"/>
      <c r="BA25" s="385"/>
      <c r="BB25" s="386"/>
    </row>
    <row r="26" spans="18:62" ht="60.75" customHeight="1"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8:62" ht="30" customHeight="1"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8:62" ht="30" customHeight="1"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T28" s="4"/>
      <c r="AU28" s="4"/>
      <c r="AV28" s="4"/>
      <c r="AW28" s="4"/>
      <c r="AX28" s="4"/>
      <c r="AY28" s="4"/>
      <c r="AZ28" s="4"/>
      <c r="BA28" s="4"/>
    </row>
    <row r="29" spans="18:62" ht="30" customHeight="1"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T29" s="4"/>
      <c r="AU29" s="4"/>
      <c r="AV29" s="4"/>
      <c r="AW29" s="4"/>
      <c r="AX29" s="4"/>
      <c r="AY29" s="4"/>
      <c r="AZ29" s="4"/>
      <c r="BA29" s="4"/>
    </row>
    <row r="30" spans="18:62" ht="30" customHeight="1">
      <c r="R30" s="3"/>
      <c r="S30" s="3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T30" s="4"/>
      <c r="AU30" s="4"/>
      <c r="AV30" s="4"/>
      <c r="AW30" s="4"/>
      <c r="AX30" s="4"/>
      <c r="AY30" s="4"/>
      <c r="AZ30" s="4"/>
      <c r="BA30" s="4"/>
    </row>
    <row r="31" spans="18:62" ht="30" customHeight="1">
      <c r="R31" s="3"/>
      <c r="S31" s="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T31" s="4"/>
      <c r="AU31" s="4"/>
      <c r="AV31" s="4"/>
      <c r="AW31" s="4"/>
      <c r="AX31" s="4"/>
      <c r="AY31" s="4"/>
      <c r="AZ31" s="4"/>
      <c r="BA31" s="4"/>
    </row>
    <row r="32" spans="18:62" ht="15" customHeight="1">
      <c r="S32" s="3"/>
      <c r="BJ32" s="4">
        <v>8</v>
      </c>
    </row>
  </sheetData>
  <mergeCells count="145">
    <mergeCell ref="S24:W25"/>
    <mergeCell ref="X24:X25"/>
    <mergeCell ref="AC24:AD24"/>
    <mergeCell ref="AE24:AF24"/>
    <mergeCell ref="AG24:AI24"/>
    <mergeCell ref="AJ24:AM24"/>
    <mergeCell ref="AN24:AP24"/>
    <mergeCell ref="AQ25:AS25"/>
    <mergeCell ref="AT25:BB25"/>
    <mergeCell ref="AQ24:AS24"/>
    <mergeCell ref="AU24:AV24"/>
    <mergeCell ref="AW24:AX24"/>
    <mergeCell ref="AY24:AZ24"/>
    <mergeCell ref="BA24:BB24"/>
    <mergeCell ref="AC25:AD25"/>
    <mergeCell ref="AE25:AF25"/>
    <mergeCell ref="AG25:AI25"/>
    <mergeCell ref="AJ25:AM25"/>
    <mergeCell ref="AN25:AP25"/>
    <mergeCell ref="AY22:AZ22"/>
    <mergeCell ref="BA22:BB22"/>
    <mergeCell ref="S23:W23"/>
    <mergeCell ref="AC23:AD23"/>
    <mergeCell ref="AE23:AF23"/>
    <mergeCell ref="AG23:AI23"/>
    <mergeCell ref="AJ23:AM23"/>
    <mergeCell ref="AN23:AP23"/>
    <mergeCell ref="AQ23:AS23"/>
    <mergeCell ref="AU23:AV23"/>
    <mergeCell ref="AW23:AX23"/>
    <mergeCell ref="AY23:AZ23"/>
    <mergeCell ref="BA23:BB23"/>
    <mergeCell ref="T22:U22"/>
    <mergeCell ref="V22:W22"/>
    <mergeCell ref="Z22:AF22"/>
    <mergeCell ref="AG22:AH22"/>
    <mergeCell ref="AI22:AJ22"/>
    <mergeCell ref="AL22:AN22"/>
    <mergeCell ref="AO22:AS22"/>
    <mergeCell ref="AU22:AV22"/>
    <mergeCell ref="AW22:AX22"/>
    <mergeCell ref="AO20:AS20"/>
    <mergeCell ref="AU20:AV20"/>
    <mergeCell ref="BA20:BB20"/>
    <mergeCell ref="T21:U21"/>
    <mergeCell ref="V21:W21"/>
    <mergeCell ref="Z21:AF21"/>
    <mergeCell ref="AG21:AS21"/>
    <mergeCell ref="AT21:AV21"/>
    <mergeCell ref="AW21:AX21"/>
    <mergeCell ref="AY21:AZ21"/>
    <mergeCell ref="T20:U20"/>
    <mergeCell ref="V20:W20"/>
    <mergeCell ref="Z20:AF20"/>
    <mergeCell ref="AG20:AH20"/>
    <mergeCell ref="AI20:AJ20"/>
    <mergeCell ref="AL20:AN20"/>
    <mergeCell ref="BA21:BB21"/>
    <mergeCell ref="AU18:AV18"/>
    <mergeCell ref="BA18:BB18"/>
    <mergeCell ref="T19:U19"/>
    <mergeCell ref="V19:W19"/>
    <mergeCell ref="Z19:AF19"/>
    <mergeCell ref="AG19:AS19"/>
    <mergeCell ref="AU19:AV19"/>
    <mergeCell ref="BA19:BB19"/>
    <mergeCell ref="AO17:AS17"/>
    <mergeCell ref="AU17:AV17"/>
    <mergeCell ref="BA17:BB17"/>
    <mergeCell ref="T18:U18"/>
    <mergeCell ref="V18:W18"/>
    <mergeCell ref="Z18:AF18"/>
    <mergeCell ref="AG18:AH18"/>
    <mergeCell ref="AI18:AJ18"/>
    <mergeCell ref="AL18:AN18"/>
    <mergeCell ref="AO18:AS18"/>
    <mergeCell ref="T17:U17"/>
    <mergeCell ref="V17:W17"/>
    <mergeCell ref="Z17:AF17"/>
    <mergeCell ref="AG17:AH17"/>
    <mergeCell ref="AI17:AJ17"/>
    <mergeCell ref="AL17:AN17"/>
    <mergeCell ref="S16:AF16"/>
    <mergeCell ref="AG16:AS16"/>
    <mergeCell ref="AT16:BB16"/>
    <mergeCell ref="AU5:AU6"/>
    <mergeCell ref="AV5:AV6"/>
    <mergeCell ref="AW5:AW6"/>
    <mergeCell ref="AX5:AX6"/>
    <mergeCell ref="AY5:AY6"/>
    <mergeCell ref="AZ5:AZ6"/>
    <mergeCell ref="AH5:AH6"/>
    <mergeCell ref="AI5:AI6"/>
    <mergeCell ref="AJ5:AJ6"/>
    <mergeCell ref="AK5:AR5"/>
    <mergeCell ref="AS5:AS6"/>
    <mergeCell ref="AT5:AT6"/>
    <mergeCell ref="AB5:AB6"/>
    <mergeCell ref="AC5:AC6"/>
    <mergeCell ref="AD5:AD6"/>
    <mergeCell ref="AE5:AE6"/>
    <mergeCell ref="S4:Z4"/>
    <mergeCell ref="AA4:AB4"/>
    <mergeCell ref="AC4:AD4"/>
    <mergeCell ref="AE4:AJ4"/>
    <mergeCell ref="AL4:AQ4"/>
    <mergeCell ref="AS4:AW4"/>
    <mergeCell ref="T7:T9"/>
    <mergeCell ref="T10:T12"/>
    <mergeCell ref="T13:T15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Q1:AT1"/>
    <mergeCell ref="AU1:AW1"/>
    <mergeCell ref="AF5:AF6"/>
    <mergeCell ref="AG5:AG6"/>
    <mergeCell ref="AX1:BB3"/>
    <mergeCell ref="AC2:AE2"/>
    <mergeCell ref="AF2:AH2"/>
    <mergeCell ref="AI2:AL2"/>
    <mergeCell ref="AM2:AP2"/>
    <mergeCell ref="AQ2:AT2"/>
    <mergeCell ref="AU2:AW2"/>
    <mergeCell ref="AC3:AE3"/>
    <mergeCell ref="AQ3:AT3"/>
    <mergeCell ref="AU3:AW3"/>
    <mergeCell ref="AX4:BB4"/>
    <mergeCell ref="BA5:BA6"/>
    <mergeCell ref="BB5:BB6"/>
    <mergeCell ref="S1:W3"/>
    <mergeCell ref="X1:Y3"/>
    <mergeCell ref="AC1:AE1"/>
    <mergeCell ref="AF1:AH1"/>
    <mergeCell ref="AI1:AL1"/>
    <mergeCell ref="AM1:AP1"/>
    <mergeCell ref="AF3:AH3"/>
    <mergeCell ref="AI3:AL3"/>
    <mergeCell ref="AM3:AP3"/>
  </mergeCells>
  <conditionalFormatting sqref="Z7:Z15">
    <cfRule type="cellIs" dxfId="311" priority="3" operator="greaterThan">
      <formula>0.167361111111111</formula>
    </cfRule>
    <cfRule type="cellIs" dxfId="310" priority="4" operator="greaterThan">
      <formula>0.15625</formula>
    </cfRule>
  </conditionalFormatting>
  <conditionalFormatting sqref="AA7:AJ15">
    <cfRule type="cellIs" dxfId="309" priority="11" operator="between">
      <formula>1700</formula>
      <formula>1710</formula>
    </cfRule>
    <cfRule type="cellIs" dxfId="308" priority="12" operator="between">
      <formula>1691</formula>
      <formula>1700</formula>
    </cfRule>
  </conditionalFormatting>
  <conditionalFormatting sqref="AS7:AS15">
    <cfRule type="expression" dxfId="307" priority="13">
      <formula>IF(($AS7/$AX7)*1000&gt;$AY$1,1,0)</formula>
    </cfRule>
  </conditionalFormatting>
  <conditionalFormatting sqref="AT7:AW15">
    <cfRule type="cellIs" dxfId="306" priority="5" operator="greaterThan">
      <formula>10</formula>
    </cfRule>
  </conditionalFormatting>
  <conditionalFormatting sqref="AX7:AX15">
    <cfRule type="cellIs" dxfId="305" priority="2" operator="between">
      <formula>16000</formula>
      <formula>17200</formula>
    </cfRule>
    <cfRule type="cellIs" dxfId="304" priority="6" operator="lessThan">
      <formula>15800</formula>
    </cfRule>
    <cfRule type="cellIs" dxfId="303" priority="7" operator="greaterThan">
      <formula>18000</formula>
    </cfRule>
  </conditionalFormatting>
  <conditionalFormatting sqref="AZ7:BA15">
    <cfRule type="cellIs" dxfId="302" priority="10" operator="greaterThan">
      <formula>0</formula>
    </cfRule>
  </conditionalFormatting>
  <conditionalFormatting sqref="BB7:BB15">
    <cfRule type="cellIs" dxfId="301" priority="1" operator="between">
      <formula>16000</formula>
      <formula>17200</formula>
    </cfRule>
    <cfRule type="cellIs" dxfId="300" priority="8" operator="greaterThan">
      <formula>18000</formula>
    </cfRule>
    <cfRule type="cellIs" dxfId="299" priority="9" operator="lessThan">
      <formula>15800</formula>
    </cfRule>
  </conditionalFormatting>
  <printOptions horizontalCentered="1" verticalCentered="1"/>
  <pageMargins left="0" right="0" top="0" bottom="0.21" header="0" footer="0"/>
  <pageSetup paperSize="9" scale="42" orientation="landscape" cellComments="asDisplayed" r:id="rId1"/>
  <headerFooter differentFirst="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55755-F314-4A32-B3D9-928C56B2D510}">
  <sheetPr>
    <tabColor theme="5"/>
    <pageSetUpPr fitToPage="1"/>
  </sheetPr>
  <dimension ref="R1:BJ32"/>
  <sheetViews>
    <sheetView showGridLines="0" rightToLeft="1" topLeftCell="Q1" zoomScale="55" zoomScaleNormal="55" zoomScalePageLayoutView="40" workbookViewId="0">
      <selection activeCell="AJ11" sqref="AJ11"/>
    </sheetView>
  </sheetViews>
  <sheetFormatPr defaultColWidth="9.140625" defaultRowHeight="15"/>
  <cols>
    <col min="1" max="18" width="9.140625" style="4"/>
    <col min="19" max="19" width="5.7109375" style="4" customWidth="1"/>
    <col min="20" max="20" width="9.5703125" style="3" customWidth="1"/>
    <col min="21" max="21" width="10.7109375" style="3" customWidth="1"/>
    <col min="22" max="22" width="9.42578125" style="88" customWidth="1"/>
    <col min="23" max="23" width="8.85546875" style="88" customWidth="1"/>
    <col min="24" max="24" width="14.42578125" style="3" customWidth="1"/>
    <col min="25" max="25" width="14.7109375" style="3" customWidth="1"/>
    <col min="26" max="26" width="15.140625" style="88" customWidth="1"/>
    <col min="27" max="27" width="9.5703125" style="3" hidden="1" customWidth="1"/>
    <col min="28" max="28" width="10" style="3" hidden="1" customWidth="1"/>
    <col min="29" max="29" width="8.140625" style="3" customWidth="1"/>
    <col min="30" max="30" width="8.5703125" style="3" customWidth="1"/>
    <col min="31" max="31" width="12.42578125" style="3" customWidth="1"/>
    <col min="32" max="32" width="10.5703125" style="3" customWidth="1"/>
    <col min="33" max="33" width="9.5703125" style="3" customWidth="1"/>
    <col min="34" max="34" width="11.42578125" style="3" customWidth="1"/>
    <col min="35" max="35" width="9.42578125" style="3" customWidth="1"/>
    <col min="36" max="36" width="9.28515625" style="3" customWidth="1"/>
    <col min="37" max="37" width="6.7109375" style="3" hidden="1" customWidth="1"/>
    <col min="38" max="42" width="6.7109375" style="3" customWidth="1"/>
    <col min="43" max="43" width="8.140625" style="3" customWidth="1"/>
    <col min="44" max="44" width="6.7109375" style="3" hidden="1" customWidth="1"/>
    <col min="45" max="45" width="10.42578125" style="3" customWidth="1"/>
    <col min="46" max="46" width="8.7109375" style="3" customWidth="1"/>
    <col min="47" max="47" width="8.5703125" style="3" customWidth="1"/>
    <col min="48" max="48" width="8.7109375" style="3" customWidth="1"/>
    <col min="49" max="49" width="9.5703125" style="3" customWidth="1"/>
    <col min="50" max="50" width="12.42578125" style="88" customWidth="1"/>
    <col min="51" max="51" width="11.85546875" style="3" customWidth="1"/>
    <col min="52" max="52" width="11.5703125" style="3" customWidth="1"/>
    <col min="53" max="53" width="13.42578125" style="3" customWidth="1"/>
    <col min="54" max="54" width="13.5703125" style="4" customWidth="1"/>
    <col min="55" max="57" width="9.140625" style="4"/>
    <col min="58" max="58" width="25" style="4" customWidth="1"/>
    <col min="59" max="61" width="9.140625" style="4"/>
    <col min="62" max="62" width="23.5703125" style="4" customWidth="1"/>
    <col min="63" max="16384" width="9.140625" style="4"/>
  </cols>
  <sheetData>
    <row r="1" spans="19:54" ht="36.75" customHeight="1" thickBot="1">
      <c r="S1" s="180"/>
      <c r="T1" s="181"/>
      <c r="U1" s="181"/>
      <c r="V1" s="181"/>
      <c r="W1" s="181"/>
      <c r="X1" s="182" t="s">
        <v>0</v>
      </c>
      <c r="Y1" s="183"/>
      <c r="Z1" s="1" t="s">
        <v>1</v>
      </c>
      <c r="AA1" s="2"/>
      <c r="AC1" s="188" t="s">
        <v>2</v>
      </c>
      <c r="AD1" s="189"/>
      <c r="AE1" s="189"/>
      <c r="AF1" s="190" t="s">
        <v>75</v>
      </c>
      <c r="AG1" s="191"/>
      <c r="AH1" s="192"/>
      <c r="AI1" s="193" t="s">
        <v>3</v>
      </c>
      <c r="AJ1" s="194"/>
      <c r="AK1" s="194"/>
      <c r="AL1" s="195"/>
      <c r="AM1" s="196" t="s">
        <v>76</v>
      </c>
      <c r="AN1" s="197"/>
      <c r="AO1" s="197"/>
      <c r="AP1" s="198"/>
      <c r="AQ1" s="203" t="s">
        <v>4</v>
      </c>
      <c r="AR1" s="204"/>
      <c r="AS1" s="204"/>
      <c r="AT1" s="205"/>
      <c r="AU1" s="206" t="s">
        <v>74</v>
      </c>
      <c r="AV1" s="207"/>
      <c r="AW1" s="208"/>
      <c r="AX1" s="211" t="s">
        <v>115</v>
      </c>
      <c r="AY1" s="211"/>
      <c r="AZ1" s="211"/>
      <c r="BA1" s="211"/>
      <c r="BB1" s="211"/>
    </row>
    <row r="2" spans="19:54" ht="36.75" customHeight="1" thickBot="1">
      <c r="S2" s="180"/>
      <c r="T2" s="181"/>
      <c r="U2" s="181"/>
      <c r="V2" s="181"/>
      <c r="W2" s="181"/>
      <c r="X2" s="184"/>
      <c r="Y2" s="185"/>
      <c r="Z2" s="5" t="s">
        <v>5</v>
      </c>
      <c r="AA2" s="89"/>
      <c r="AC2" s="188" t="s">
        <v>2</v>
      </c>
      <c r="AD2" s="189"/>
      <c r="AE2" s="212"/>
      <c r="AF2" s="190" t="s">
        <v>78</v>
      </c>
      <c r="AG2" s="191"/>
      <c r="AH2" s="192"/>
      <c r="AI2" s="193" t="s">
        <v>3</v>
      </c>
      <c r="AJ2" s="194"/>
      <c r="AK2" s="194"/>
      <c r="AL2" s="195"/>
      <c r="AM2" s="202" t="s">
        <v>79</v>
      </c>
      <c r="AN2" s="202"/>
      <c r="AO2" s="202"/>
      <c r="AP2" s="202"/>
      <c r="AQ2" s="203" t="s">
        <v>4</v>
      </c>
      <c r="AR2" s="204"/>
      <c r="AS2" s="204"/>
      <c r="AT2" s="205"/>
      <c r="AU2" s="213" t="s">
        <v>77</v>
      </c>
      <c r="AV2" s="213"/>
      <c r="AW2" s="213"/>
      <c r="AX2" s="211"/>
      <c r="AY2" s="211"/>
      <c r="AZ2" s="211"/>
      <c r="BA2" s="211"/>
      <c r="BB2" s="211"/>
    </row>
    <row r="3" spans="19:54" ht="38.25" customHeight="1" thickBot="1">
      <c r="S3" s="181"/>
      <c r="T3" s="181"/>
      <c r="U3" s="181"/>
      <c r="V3" s="181"/>
      <c r="W3" s="181"/>
      <c r="X3" s="186"/>
      <c r="Y3" s="187"/>
      <c r="Z3" s="90" t="s">
        <v>65</v>
      </c>
      <c r="AA3" s="6"/>
      <c r="AC3" s="188" t="s">
        <v>6</v>
      </c>
      <c r="AD3" s="189"/>
      <c r="AE3" s="212"/>
      <c r="AF3" s="190" t="s">
        <v>81</v>
      </c>
      <c r="AG3" s="191"/>
      <c r="AH3" s="192"/>
      <c r="AI3" s="199" t="s">
        <v>7</v>
      </c>
      <c r="AJ3" s="200"/>
      <c r="AK3" s="200"/>
      <c r="AL3" s="201"/>
      <c r="AM3" s="202" t="s">
        <v>82</v>
      </c>
      <c r="AN3" s="202"/>
      <c r="AO3" s="202"/>
      <c r="AP3" s="202"/>
      <c r="AQ3" s="203" t="s">
        <v>4</v>
      </c>
      <c r="AR3" s="204"/>
      <c r="AS3" s="204"/>
      <c r="AT3" s="214"/>
      <c r="AU3" s="215" t="s">
        <v>80</v>
      </c>
      <c r="AV3" s="216"/>
      <c r="AW3" s="217"/>
      <c r="AX3" s="211"/>
      <c r="AY3" s="211"/>
      <c r="AZ3" s="211"/>
      <c r="BA3" s="211"/>
      <c r="BB3" s="211"/>
    </row>
    <row r="4" spans="19:54" ht="34.5" customHeight="1" thickBot="1">
      <c r="S4" s="225" t="s">
        <v>8</v>
      </c>
      <c r="T4" s="226"/>
      <c r="U4" s="226"/>
      <c r="V4" s="226"/>
      <c r="W4" s="226"/>
      <c r="X4" s="227"/>
      <c r="Y4" s="227"/>
      <c r="Z4" s="228"/>
      <c r="AA4" s="229" t="s">
        <v>9</v>
      </c>
      <c r="AB4" s="230"/>
      <c r="AC4" s="231" t="s">
        <v>10</v>
      </c>
      <c r="AD4" s="232"/>
      <c r="AE4" s="233" t="s">
        <v>11</v>
      </c>
      <c r="AF4" s="234"/>
      <c r="AG4" s="234"/>
      <c r="AH4" s="234"/>
      <c r="AI4" s="234"/>
      <c r="AJ4" s="235"/>
      <c r="AK4" s="7"/>
      <c r="AL4" s="236" t="s">
        <v>12</v>
      </c>
      <c r="AM4" s="237"/>
      <c r="AN4" s="237"/>
      <c r="AO4" s="237"/>
      <c r="AP4" s="237"/>
      <c r="AQ4" s="237"/>
      <c r="AR4" s="8"/>
      <c r="AS4" s="238" t="s">
        <v>13</v>
      </c>
      <c r="AT4" s="239"/>
      <c r="AU4" s="239"/>
      <c r="AV4" s="239"/>
      <c r="AW4" s="240"/>
      <c r="AX4" s="218" t="s">
        <v>14</v>
      </c>
      <c r="AY4" s="219"/>
      <c r="AZ4" s="219"/>
      <c r="BA4" s="219"/>
      <c r="BB4" s="220"/>
    </row>
    <row r="5" spans="19:54" ht="52.5" customHeight="1">
      <c r="S5" s="246" t="s">
        <v>15</v>
      </c>
      <c r="T5" s="248" t="s">
        <v>16</v>
      </c>
      <c r="U5" s="248" t="s">
        <v>17</v>
      </c>
      <c r="V5" s="248" t="s">
        <v>18</v>
      </c>
      <c r="W5" s="248" t="s">
        <v>19</v>
      </c>
      <c r="X5" s="248" t="s">
        <v>20</v>
      </c>
      <c r="Y5" s="248" t="s">
        <v>21</v>
      </c>
      <c r="Z5" s="250" t="s">
        <v>22</v>
      </c>
      <c r="AA5" s="252" t="s">
        <v>23</v>
      </c>
      <c r="AB5" s="270" t="s">
        <v>9</v>
      </c>
      <c r="AC5" s="272" t="s">
        <v>24</v>
      </c>
      <c r="AD5" s="272" t="s">
        <v>25</v>
      </c>
      <c r="AE5" s="274" t="s">
        <v>26</v>
      </c>
      <c r="AF5" s="209" t="s">
        <v>27</v>
      </c>
      <c r="AG5" s="209" t="s">
        <v>28</v>
      </c>
      <c r="AH5" s="263" t="s">
        <v>29</v>
      </c>
      <c r="AI5" s="263" t="s">
        <v>30</v>
      </c>
      <c r="AJ5" s="265" t="s">
        <v>31</v>
      </c>
      <c r="AK5" s="267" t="s">
        <v>32</v>
      </c>
      <c r="AL5" s="268"/>
      <c r="AM5" s="268"/>
      <c r="AN5" s="268"/>
      <c r="AO5" s="268"/>
      <c r="AP5" s="268"/>
      <c r="AQ5" s="268"/>
      <c r="AR5" s="269"/>
      <c r="AS5" s="259" t="s">
        <v>33</v>
      </c>
      <c r="AT5" s="259" t="s">
        <v>34</v>
      </c>
      <c r="AU5" s="259" t="s">
        <v>35</v>
      </c>
      <c r="AV5" s="259" t="s">
        <v>66</v>
      </c>
      <c r="AW5" s="261" t="s">
        <v>36</v>
      </c>
      <c r="AX5" s="252" t="s">
        <v>37</v>
      </c>
      <c r="AY5" s="221" t="s">
        <v>38</v>
      </c>
      <c r="AZ5" s="221" t="s">
        <v>39</v>
      </c>
      <c r="BA5" s="221" t="s">
        <v>40</v>
      </c>
      <c r="BB5" s="223" t="s">
        <v>41</v>
      </c>
    </row>
    <row r="6" spans="19:54" ht="27.95" customHeight="1" thickBot="1">
      <c r="S6" s="247"/>
      <c r="T6" s="249"/>
      <c r="U6" s="249"/>
      <c r="V6" s="249"/>
      <c r="W6" s="249"/>
      <c r="X6" s="249"/>
      <c r="Y6" s="249"/>
      <c r="Z6" s="251"/>
      <c r="AA6" s="253"/>
      <c r="AB6" s="271"/>
      <c r="AC6" s="273"/>
      <c r="AD6" s="273"/>
      <c r="AE6" s="275"/>
      <c r="AF6" s="210"/>
      <c r="AG6" s="210"/>
      <c r="AH6" s="264"/>
      <c r="AI6" s="264"/>
      <c r="AJ6" s="266"/>
      <c r="AK6" s="9">
        <v>1</v>
      </c>
      <c r="AL6" s="10">
        <v>2</v>
      </c>
      <c r="AM6" s="10">
        <v>3</v>
      </c>
      <c r="AN6" s="10">
        <v>4</v>
      </c>
      <c r="AO6" s="10">
        <v>5</v>
      </c>
      <c r="AP6" s="10">
        <v>6</v>
      </c>
      <c r="AQ6" s="10">
        <v>12</v>
      </c>
      <c r="AR6" s="11"/>
      <c r="AS6" s="260"/>
      <c r="AT6" s="260"/>
      <c r="AU6" s="260"/>
      <c r="AV6" s="260"/>
      <c r="AW6" s="262"/>
      <c r="AX6" s="253"/>
      <c r="AY6" s="222"/>
      <c r="AZ6" s="222"/>
      <c r="BA6" s="222"/>
      <c r="BB6" s="224"/>
    </row>
    <row r="7" spans="19:54" s="34" customFormat="1" ht="48" customHeight="1" thickBot="1">
      <c r="S7" s="12">
        <v>1</v>
      </c>
      <c r="T7" s="241" t="s">
        <v>1</v>
      </c>
      <c r="U7" s="13"/>
      <c r="V7" s="14"/>
      <c r="W7" s="15"/>
      <c r="X7" s="16"/>
      <c r="Y7" s="17"/>
      <c r="Z7" s="18">
        <f t="shared" ref="Z7:Z15" si="0">IF(Y7&lt;X7,1+Y7-X7,Y7-X7)</f>
        <v>0</v>
      </c>
      <c r="AA7" s="19"/>
      <c r="AB7" s="20"/>
      <c r="AC7" s="21"/>
      <c r="AD7" s="100"/>
      <c r="AE7" s="22"/>
      <c r="AF7" s="23"/>
      <c r="AG7" s="23"/>
      <c r="AH7" s="23"/>
      <c r="AI7" s="23"/>
      <c r="AJ7" s="24"/>
      <c r="AK7" s="25"/>
      <c r="AL7" s="26"/>
      <c r="AM7" s="26"/>
      <c r="AN7" s="26"/>
      <c r="AO7" s="26"/>
      <c r="AP7" s="26"/>
      <c r="AQ7" s="26"/>
      <c r="AR7" s="27"/>
      <c r="AS7" s="28"/>
      <c r="AT7" s="13"/>
      <c r="AU7" s="13"/>
      <c r="AV7" s="13"/>
      <c r="AW7" s="29"/>
      <c r="AX7" s="30">
        <f t="shared" ref="AX7:AX15" si="1">SUM(AY7:BB7)</f>
        <v>0</v>
      </c>
      <c r="AY7" s="31">
        <v>0</v>
      </c>
      <c r="AZ7" s="32">
        <v>0</v>
      </c>
      <c r="BA7" s="31">
        <v>0</v>
      </c>
      <c r="BB7" s="33">
        <f t="shared" ref="BB7:BB15" si="2">SUM(($AQ$6*AQ7+$AP$6*AP7+$AN$6*AN7+$AM$6*$AM7+$AL$6*AL7+$AK$6*AK7+$AO$6*AO7+$AR$6*AR7)*175)</f>
        <v>0</v>
      </c>
    </row>
    <row r="8" spans="19:54" s="34" customFormat="1" ht="48" customHeight="1" thickBot="1">
      <c r="S8" s="12">
        <v>2</v>
      </c>
      <c r="T8" s="242"/>
      <c r="U8" s="35"/>
      <c r="V8" s="138"/>
      <c r="W8" s="138"/>
      <c r="X8" s="36"/>
      <c r="Y8" s="36"/>
      <c r="Z8" s="37">
        <f t="shared" si="0"/>
        <v>0</v>
      </c>
      <c r="AA8" s="38"/>
      <c r="AB8" s="39"/>
      <c r="AC8" s="40"/>
      <c r="AD8" s="101"/>
      <c r="AE8" s="41"/>
      <c r="AF8" s="42"/>
      <c r="AG8" s="42"/>
      <c r="AH8" s="42"/>
      <c r="AI8" s="42"/>
      <c r="AJ8" s="43"/>
      <c r="AK8" s="44"/>
      <c r="AL8" s="45"/>
      <c r="AM8" s="45"/>
      <c r="AN8" s="45"/>
      <c r="AO8" s="45"/>
      <c r="AP8" s="45"/>
      <c r="AQ8" s="45"/>
      <c r="AR8" s="46"/>
      <c r="AS8" s="47"/>
      <c r="AT8" s="35"/>
      <c r="AU8" s="35"/>
      <c r="AV8" s="35"/>
      <c r="AW8" s="48"/>
      <c r="AX8" s="49">
        <f t="shared" si="1"/>
        <v>0</v>
      </c>
      <c r="AY8" s="50">
        <v>0</v>
      </c>
      <c r="AZ8" s="51">
        <v>0</v>
      </c>
      <c r="BA8" s="52">
        <v>0</v>
      </c>
      <c r="BB8" s="53">
        <f t="shared" si="2"/>
        <v>0</v>
      </c>
    </row>
    <row r="9" spans="19:54" s="34" customFormat="1" ht="48" customHeight="1" thickBot="1">
      <c r="S9" s="12">
        <v>3</v>
      </c>
      <c r="T9" s="242"/>
      <c r="U9" s="35"/>
      <c r="V9" s="138"/>
      <c r="W9" s="138"/>
      <c r="X9" s="36"/>
      <c r="Y9" s="36"/>
      <c r="Z9" s="37">
        <f t="shared" si="0"/>
        <v>0</v>
      </c>
      <c r="AA9" s="38"/>
      <c r="AB9" s="39"/>
      <c r="AC9" s="40"/>
      <c r="AD9" s="101"/>
      <c r="AE9" s="41"/>
      <c r="AF9" s="42"/>
      <c r="AG9" s="42"/>
      <c r="AH9" s="42"/>
      <c r="AI9" s="42"/>
      <c r="AJ9" s="43"/>
      <c r="AK9" s="44"/>
      <c r="AL9" s="45"/>
      <c r="AM9" s="45"/>
      <c r="AN9" s="45"/>
      <c r="AO9" s="45"/>
      <c r="AP9" s="45"/>
      <c r="AQ9" s="45"/>
      <c r="AR9" s="46"/>
      <c r="AS9" s="47"/>
      <c r="AT9" s="35"/>
      <c r="AU9" s="35"/>
      <c r="AV9" s="35"/>
      <c r="AW9" s="48"/>
      <c r="AX9" s="49">
        <f t="shared" si="1"/>
        <v>0</v>
      </c>
      <c r="AY9" s="51">
        <v>0</v>
      </c>
      <c r="AZ9" s="52">
        <v>0</v>
      </c>
      <c r="BA9" s="51">
        <v>0</v>
      </c>
      <c r="BB9" s="53">
        <f t="shared" si="2"/>
        <v>0</v>
      </c>
    </row>
    <row r="10" spans="19:54" s="34" customFormat="1" ht="48" customHeight="1" thickBot="1">
      <c r="S10" s="12">
        <v>4</v>
      </c>
      <c r="T10" s="243" t="s">
        <v>5</v>
      </c>
      <c r="U10" s="35"/>
      <c r="V10" s="138"/>
      <c r="W10" s="138"/>
      <c r="X10" s="36"/>
      <c r="Y10" s="36"/>
      <c r="Z10" s="37">
        <f t="shared" si="0"/>
        <v>0</v>
      </c>
      <c r="AA10" s="38"/>
      <c r="AB10" s="39"/>
      <c r="AC10" s="40"/>
      <c r="AD10" s="101"/>
      <c r="AE10" s="41"/>
      <c r="AF10" s="42"/>
      <c r="AG10" s="42"/>
      <c r="AH10" s="42"/>
      <c r="AI10" s="42"/>
      <c r="AJ10" s="43"/>
      <c r="AK10" s="44"/>
      <c r="AL10" s="45"/>
      <c r="AM10" s="45"/>
      <c r="AN10" s="45"/>
      <c r="AO10" s="45"/>
      <c r="AP10" s="45"/>
      <c r="AQ10" s="45"/>
      <c r="AR10" s="46"/>
      <c r="AS10" s="47"/>
      <c r="AT10" s="35"/>
      <c r="AU10" s="35"/>
      <c r="AV10" s="35"/>
      <c r="AW10" s="48"/>
      <c r="AX10" s="49">
        <f t="shared" si="1"/>
        <v>0</v>
      </c>
      <c r="AY10" s="51">
        <v>0</v>
      </c>
      <c r="AZ10" s="52">
        <v>0</v>
      </c>
      <c r="BA10" s="51">
        <v>0</v>
      </c>
      <c r="BB10" s="53">
        <f t="shared" si="2"/>
        <v>0</v>
      </c>
    </row>
    <row r="11" spans="19:54" s="34" customFormat="1" ht="48" customHeight="1" thickBot="1">
      <c r="S11" s="12">
        <v>5</v>
      </c>
      <c r="T11" s="243"/>
      <c r="U11" s="35"/>
      <c r="V11" s="138"/>
      <c r="W11" s="138"/>
      <c r="X11" s="36"/>
      <c r="Y11" s="120"/>
      <c r="Z11" s="37">
        <f t="shared" si="0"/>
        <v>0</v>
      </c>
      <c r="AA11" s="38"/>
      <c r="AB11" s="39"/>
      <c r="AC11" s="147"/>
      <c r="AD11" s="101"/>
      <c r="AE11" s="41"/>
      <c r="AF11" s="42"/>
      <c r="AG11" s="42"/>
      <c r="AH11" s="42"/>
      <c r="AI11" s="42"/>
      <c r="AJ11" s="43"/>
      <c r="AK11" s="44"/>
      <c r="AL11" s="45"/>
      <c r="AM11" s="45"/>
      <c r="AN11" s="45"/>
      <c r="AO11" s="45"/>
      <c r="AP11" s="45"/>
      <c r="AQ11" s="45"/>
      <c r="AR11" s="46"/>
      <c r="AS11" s="47"/>
      <c r="AT11" s="35"/>
      <c r="AU11" s="35"/>
      <c r="AV11" s="35"/>
      <c r="AW11" s="48"/>
      <c r="AX11" s="49">
        <f t="shared" si="1"/>
        <v>0</v>
      </c>
      <c r="AY11" s="50">
        <v>0</v>
      </c>
      <c r="AZ11" s="51">
        <v>0</v>
      </c>
      <c r="BA11" s="52">
        <v>0</v>
      </c>
      <c r="BB11" s="53">
        <f t="shared" si="2"/>
        <v>0</v>
      </c>
    </row>
    <row r="12" spans="19:54" s="34" customFormat="1" ht="48" customHeight="1" thickBot="1">
      <c r="S12" s="12">
        <v>10</v>
      </c>
      <c r="T12" s="243"/>
      <c r="U12" s="13"/>
      <c r="V12" s="14"/>
      <c r="W12" s="14"/>
      <c r="X12" s="54"/>
      <c r="Y12" s="54"/>
      <c r="Z12" s="55">
        <f t="shared" si="0"/>
        <v>0</v>
      </c>
      <c r="AA12" s="19"/>
      <c r="AB12" s="20"/>
      <c r="AC12" s="21"/>
      <c r="AD12" s="100"/>
      <c r="AE12" s="22"/>
      <c r="AF12" s="23"/>
      <c r="AG12" s="23"/>
      <c r="AH12" s="23"/>
      <c r="AI12" s="23"/>
      <c r="AJ12" s="24"/>
      <c r="AK12" s="25"/>
      <c r="AL12" s="26"/>
      <c r="AM12" s="26"/>
      <c r="AN12" s="26"/>
      <c r="AO12" s="26"/>
      <c r="AP12" s="26"/>
      <c r="AQ12" s="26"/>
      <c r="AR12" s="27"/>
      <c r="AS12" s="28"/>
      <c r="AT12" s="13"/>
      <c r="AU12" s="13"/>
      <c r="AV12" s="13"/>
      <c r="AW12" s="29"/>
      <c r="AX12" s="30">
        <f t="shared" si="1"/>
        <v>0</v>
      </c>
      <c r="AY12" s="31">
        <v>0</v>
      </c>
      <c r="AZ12" s="32">
        <v>0</v>
      </c>
      <c r="BA12" s="31">
        <v>0</v>
      </c>
      <c r="BB12" s="56">
        <f t="shared" si="2"/>
        <v>0</v>
      </c>
    </row>
    <row r="13" spans="19:54" s="34" customFormat="1" ht="48" customHeight="1" thickBot="1">
      <c r="S13" s="12">
        <v>11</v>
      </c>
      <c r="T13" s="244" t="s">
        <v>65</v>
      </c>
      <c r="U13" s="35"/>
      <c r="V13" s="138"/>
      <c r="W13" s="138"/>
      <c r="X13" s="36"/>
      <c r="Y13" s="36"/>
      <c r="Z13" s="37">
        <f t="shared" si="0"/>
        <v>0</v>
      </c>
      <c r="AA13" s="38"/>
      <c r="AB13" s="39"/>
      <c r="AC13" s="40"/>
      <c r="AD13" s="101"/>
      <c r="AE13" s="41"/>
      <c r="AF13" s="42"/>
      <c r="AG13" s="42"/>
      <c r="AH13" s="42"/>
      <c r="AI13" s="42"/>
      <c r="AJ13" s="43"/>
      <c r="AK13" s="44"/>
      <c r="AL13" s="45"/>
      <c r="AM13" s="45"/>
      <c r="AN13" s="45"/>
      <c r="AO13" s="45"/>
      <c r="AP13" s="45"/>
      <c r="AQ13" s="45"/>
      <c r="AR13" s="46"/>
      <c r="AS13" s="47"/>
      <c r="AT13" s="35"/>
      <c r="AU13" s="35"/>
      <c r="AV13" s="35"/>
      <c r="AW13" s="48"/>
      <c r="AX13" s="49">
        <f t="shared" si="1"/>
        <v>0</v>
      </c>
      <c r="AY13" s="50">
        <v>0</v>
      </c>
      <c r="AZ13" s="51">
        <v>0</v>
      </c>
      <c r="BA13" s="52">
        <v>0</v>
      </c>
      <c r="BB13" s="57">
        <f t="shared" si="2"/>
        <v>0</v>
      </c>
    </row>
    <row r="14" spans="19:54" s="34" customFormat="1" ht="48" customHeight="1" thickBot="1">
      <c r="S14" s="12">
        <v>12</v>
      </c>
      <c r="T14" s="244"/>
      <c r="U14" s="35"/>
      <c r="V14" s="138"/>
      <c r="W14" s="138"/>
      <c r="X14" s="36"/>
      <c r="Y14" s="36"/>
      <c r="Z14" s="37">
        <f t="shared" si="0"/>
        <v>0</v>
      </c>
      <c r="AA14" s="38"/>
      <c r="AB14" s="39"/>
      <c r="AC14" s="147"/>
      <c r="AD14" s="101"/>
      <c r="AE14" s="41"/>
      <c r="AF14" s="42"/>
      <c r="AG14" s="42"/>
      <c r="AH14" s="42"/>
      <c r="AI14" s="42"/>
      <c r="AJ14" s="43"/>
      <c r="AK14" s="44"/>
      <c r="AL14" s="45"/>
      <c r="AM14" s="45"/>
      <c r="AN14" s="45"/>
      <c r="AO14" s="45"/>
      <c r="AP14" s="45"/>
      <c r="AQ14" s="45"/>
      <c r="AR14" s="46"/>
      <c r="AS14" s="47"/>
      <c r="AT14" s="35"/>
      <c r="AU14" s="35"/>
      <c r="AV14" s="35"/>
      <c r="AW14" s="48"/>
      <c r="AX14" s="49">
        <f t="shared" si="1"/>
        <v>0</v>
      </c>
      <c r="AY14" s="51">
        <v>0</v>
      </c>
      <c r="AZ14" s="52">
        <v>0</v>
      </c>
      <c r="BA14" s="51">
        <v>0</v>
      </c>
      <c r="BB14" s="57">
        <f t="shared" si="2"/>
        <v>0</v>
      </c>
    </row>
    <row r="15" spans="19:54" s="34" customFormat="1" ht="48" customHeight="1" thickBot="1">
      <c r="S15" s="12">
        <v>13</v>
      </c>
      <c r="T15" s="245"/>
      <c r="U15" s="58"/>
      <c r="V15" s="59"/>
      <c r="W15" s="59"/>
      <c r="X15" s="60"/>
      <c r="Y15" s="60"/>
      <c r="Z15" s="61">
        <f t="shared" si="0"/>
        <v>0</v>
      </c>
      <c r="AA15" s="62"/>
      <c r="AB15" s="63"/>
      <c r="AC15" s="64"/>
      <c r="AD15" s="102"/>
      <c r="AE15" s="65"/>
      <c r="AF15" s="66"/>
      <c r="AG15" s="67"/>
      <c r="AH15" s="67"/>
      <c r="AI15" s="67"/>
      <c r="AJ15" s="66"/>
      <c r="AK15" s="68"/>
      <c r="AL15" s="69"/>
      <c r="AM15" s="69"/>
      <c r="AN15" s="69"/>
      <c r="AO15" s="69"/>
      <c r="AP15" s="69"/>
      <c r="AQ15" s="69"/>
      <c r="AR15" s="70"/>
      <c r="AS15" s="71"/>
      <c r="AT15" s="35"/>
      <c r="AU15" s="35"/>
      <c r="AV15" s="35"/>
      <c r="AW15" s="48"/>
      <c r="AX15" s="49">
        <f t="shared" si="1"/>
        <v>0</v>
      </c>
      <c r="AY15" s="50">
        <v>0</v>
      </c>
      <c r="AZ15" s="51">
        <v>0</v>
      </c>
      <c r="BA15" s="52">
        <v>0</v>
      </c>
      <c r="BB15" s="57">
        <f t="shared" si="2"/>
        <v>0</v>
      </c>
    </row>
    <row r="16" spans="19:54" s="72" customFormat="1" ht="50.1" customHeight="1">
      <c r="S16" s="254" t="s">
        <v>42</v>
      </c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5" t="s">
        <v>53</v>
      </c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6" t="s">
        <v>43</v>
      </c>
      <c r="AU16" s="257"/>
      <c r="AV16" s="257"/>
      <c r="AW16" s="257"/>
      <c r="AX16" s="257"/>
      <c r="AY16" s="257"/>
      <c r="AZ16" s="257"/>
      <c r="BA16" s="257"/>
      <c r="BB16" s="258"/>
    </row>
    <row r="17" spans="18:62" s="72" customFormat="1" ht="60" customHeight="1">
      <c r="S17" s="73" t="s">
        <v>15</v>
      </c>
      <c r="T17" s="300" t="s">
        <v>44</v>
      </c>
      <c r="U17" s="301"/>
      <c r="V17" s="302" t="s">
        <v>45</v>
      </c>
      <c r="W17" s="303"/>
      <c r="X17" s="74" t="s">
        <v>46</v>
      </c>
      <c r="Y17" s="75" t="s">
        <v>67</v>
      </c>
      <c r="Z17" s="304" t="s">
        <v>47</v>
      </c>
      <c r="AA17" s="304"/>
      <c r="AB17" s="304"/>
      <c r="AC17" s="304"/>
      <c r="AD17" s="304"/>
      <c r="AE17" s="304"/>
      <c r="AF17" s="304"/>
      <c r="AG17" s="305" t="s">
        <v>48</v>
      </c>
      <c r="AH17" s="306"/>
      <c r="AI17" s="307" t="s">
        <v>49</v>
      </c>
      <c r="AJ17" s="307"/>
      <c r="AK17" s="92"/>
      <c r="AL17" s="308" t="s">
        <v>68</v>
      </c>
      <c r="AM17" s="309"/>
      <c r="AN17" s="310"/>
      <c r="AO17" s="288" t="s">
        <v>50</v>
      </c>
      <c r="AP17" s="289"/>
      <c r="AQ17" s="289"/>
      <c r="AR17" s="289"/>
      <c r="AS17" s="289"/>
      <c r="AT17" s="76" t="s">
        <v>51</v>
      </c>
      <c r="AU17" s="290" t="s">
        <v>33</v>
      </c>
      <c r="AV17" s="291"/>
      <c r="AW17" s="77" t="s">
        <v>34</v>
      </c>
      <c r="AX17" s="77" t="s">
        <v>66</v>
      </c>
      <c r="AY17" s="77" t="s">
        <v>35</v>
      </c>
      <c r="AZ17" s="77" t="s">
        <v>36</v>
      </c>
      <c r="BA17" s="292" t="s">
        <v>52</v>
      </c>
      <c r="BB17" s="293"/>
    </row>
    <row r="18" spans="18:62" ht="60.75" customHeight="1">
      <c r="S18" s="78">
        <v>1</v>
      </c>
      <c r="T18" s="294"/>
      <c r="U18" s="295"/>
      <c r="V18" s="280"/>
      <c r="W18" s="281"/>
      <c r="X18" s="79" t="str">
        <f>TEXT(MOD(V18-T18,1),"h:mm")</f>
        <v>0:00</v>
      </c>
      <c r="Y18" s="80"/>
      <c r="Z18" s="282"/>
      <c r="AA18" s="282"/>
      <c r="AB18" s="282"/>
      <c r="AC18" s="282"/>
      <c r="AD18" s="282"/>
      <c r="AE18" s="282"/>
      <c r="AF18" s="282"/>
      <c r="AG18" s="296">
        <f>SUM(AX7:AX9)</f>
        <v>0</v>
      </c>
      <c r="AH18" s="297"/>
      <c r="AI18" s="298">
        <f>SUM(AX10:AX12)</f>
        <v>0</v>
      </c>
      <c r="AJ18" s="298"/>
      <c r="AK18" s="93"/>
      <c r="AL18" s="298">
        <f>SUM(AX13:AX15)</f>
        <v>0</v>
      </c>
      <c r="AM18" s="298"/>
      <c r="AN18" s="298"/>
      <c r="AO18" s="299">
        <f>SUM(AG18:AN18)</f>
        <v>0</v>
      </c>
      <c r="AP18" s="299"/>
      <c r="AQ18" s="299"/>
      <c r="AR18" s="299"/>
      <c r="AS18" s="299"/>
      <c r="AT18" s="81" t="s">
        <v>1</v>
      </c>
      <c r="AU18" s="276">
        <f>SUM(AS7:AS9)</f>
        <v>0</v>
      </c>
      <c r="AV18" s="277"/>
      <c r="AW18" s="82">
        <f>SUM(AT7:AT9)</f>
        <v>0</v>
      </c>
      <c r="AX18" s="82">
        <f>SUM(AV7:AV9)</f>
        <v>0</v>
      </c>
      <c r="AY18" s="82">
        <f>SUM(AU7:AU9)</f>
        <v>0</v>
      </c>
      <c r="AZ18" s="82">
        <f>SUM(AW7:AW9)</f>
        <v>0</v>
      </c>
      <c r="BA18" s="276">
        <f>SUM(AU18:AZ18)</f>
        <v>0</v>
      </c>
      <c r="BB18" s="277"/>
    </row>
    <row r="19" spans="18:62" ht="60.75" customHeight="1">
      <c r="S19" s="78">
        <v>2</v>
      </c>
      <c r="T19" s="278"/>
      <c r="U19" s="279"/>
      <c r="V19" s="280"/>
      <c r="W19" s="281"/>
      <c r="X19" s="79" t="str">
        <f>TEXT(MOD(V19-T19,1),"h:mm")</f>
        <v>0:00</v>
      </c>
      <c r="Y19" s="80"/>
      <c r="Z19" s="282"/>
      <c r="AA19" s="282"/>
      <c r="AB19" s="282"/>
      <c r="AC19" s="282"/>
      <c r="AD19" s="282"/>
      <c r="AE19" s="282"/>
      <c r="AF19" s="282"/>
      <c r="AG19" s="283" t="s">
        <v>41</v>
      </c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5"/>
      <c r="AT19" s="83" t="s">
        <v>5</v>
      </c>
      <c r="AU19" s="286">
        <f>SUM(AS10:AS12)</f>
        <v>0</v>
      </c>
      <c r="AV19" s="287"/>
      <c r="AW19" s="84">
        <f>SUM(AT10:AT12)</f>
        <v>0</v>
      </c>
      <c r="AX19" s="84">
        <f>SUM(AV10:AV12)</f>
        <v>0</v>
      </c>
      <c r="AY19" s="84">
        <f>SUM(AU10:AU12)</f>
        <v>0</v>
      </c>
      <c r="AZ19" s="84">
        <f>SUM(AW10:AW12)</f>
        <v>0</v>
      </c>
      <c r="BA19" s="286">
        <f>SUM(AU19:AZ19)</f>
        <v>0</v>
      </c>
      <c r="BB19" s="287"/>
    </row>
    <row r="20" spans="18:62" ht="60.75" customHeight="1">
      <c r="S20" s="78">
        <v>3</v>
      </c>
      <c r="T20" s="278"/>
      <c r="U20" s="279"/>
      <c r="V20" s="280"/>
      <c r="W20" s="281"/>
      <c r="X20" s="79" t="str">
        <f>TEXT(MOD(V20-T20,1),"h:mm")</f>
        <v>0:00</v>
      </c>
      <c r="Y20" s="80"/>
      <c r="Z20" s="327"/>
      <c r="AA20" s="327"/>
      <c r="AB20" s="327"/>
      <c r="AC20" s="327"/>
      <c r="AD20" s="327"/>
      <c r="AE20" s="327"/>
      <c r="AF20" s="327"/>
      <c r="AG20" s="311">
        <f>SUM(BB7:BB9)</f>
        <v>0</v>
      </c>
      <c r="AH20" s="328"/>
      <c r="AI20" s="311">
        <f>SUM(BB10:BB12)</f>
        <v>0</v>
      </c>
      <c r="AJ20" s="328"/>
      <c r="AK20" s="94"/>
      <c r="AL20" s="311">
        <f>SUM(BB13:BB15)</f>
        <v>0</v>
      </c>
      <c r="AM20" s="329"/>
      <c r="AN20" s="328"/>
      <c r="AO20" s="311">
        <f>SUM(AG20:AN20)</f>
        <v>0</v>
      </c>
      <c r="AP20" s="312"/>
      <c r="AQ20" s="312"/>
      <c r="AR20" s="312"/>
      <c r="AS20" s="313"/>
      <c r="AT20" s="91" t="s">
        <v>65</v>
      </c>
      <c r="AU20" s="314">
        <f>SUM(AS13:AS15)</f>
        <v>0</v>
      </c>
      <c r="AV20" s="315"/>
      <c r="AW20" s="99">
        <f>SUM(AT13:AT15)</f>
        <v>0</v>
      </c>
      <c r="AX20" s="99">
        <f>SUM(AV13:AV15)</f>
        <v>0</v>
      </c>
      <c r="AY20" s="99">
        <f>SUM(AU13:AU15)</f>
        <v>0</v>
      </c>
      <c r="AZ20" s="99">
        <f>SUM(AW13:AW15)</f>
        <v>0</v>
      </c>
      <c r="BA20" s="316">
        <f>SUM(AU20:AZ20)</f>
        <v>0</v>
      </c>
      <c r="BB20" s="317"/>
    </row>
    <row r="21" spans="18:62" ht="60.75" customHeight="1">
      <c r="S21" s="78">
        <v>4</v>
      </c>
      <c r="T21" s="278"/>
      <c r="U21" s="279"/>
      <c r="V21" s="280"/>
      <c r="W21" s="281"/>
      <c r="X21" s="79" t="str">
        <f>TEXT(MOD(V21-T21,1),"h:mm")</f>
        <v>0:00</v>
      </c>
      <c r="Y21" s="80"/>
      <c r="Z21" s="318"/>
      <c r="AA21" s="318"/>
      <c r="AB21" s="318"/>
      <c r="AC21" s="318"/>
      <c r="AD21" s="318"/>
      <c r="AE21" s="318"/>
      <c r="AF21" s="318"/>
      <c r="AG21" s="319" t="s">
        <v>54</v>
      </c>
      <c r="AH21" s="320"/>
      <c r="AI21" s="320"/>
      <c r="AJ21" s="320"/>
      <c r="AK21" s="320"/>
      <c r="AL21" s="320"/>
      <c r="AM21" s="320"/>
      <c r="AN21" s="320"/>
      <c r="AO21" s="320"/>
      <c r="AP21" s="320"/>
      <c r="AQ21" s="320"/>
      <c r="AR21" s="320"/>
      <c r="AS21" s="321"/>
      <c r="AT21" s="322" t="s">
        <v>55</v>
      </c>
      <c r="AU21" s="323"/>
      <c r="AV21" s="324"/>
      <c r="AW21" s="325">
        <v>1680</v>
      </c>
      <c r="AX21" s="326"/>
      <c r="AY21" s="322" t="s">
        <v>56</v>
      </c>
      <c r="AZ21" s="324"/>
      <c r="BA21" s="330">
        <v>1628</v>
      </c>
      <c r="BB21" s="331"/>
    </row>
    <row r="22" spans="18:62" ht="54" customHeight="1">
      <c r="S22" s="78">
        <v>5</v>
      </c>
      <c r="T22" s="278"/>
      <c r="U22" s="279"/>
      <c r="V22" s="280"/>
      <c r="W22" s="281"/>
      <c r="X22" s="79" t="str">
        <f>TEXT(MOD(V22-T22,1),"h:mm")</f>
        <v>0:00</v>
      </c>
      <c r="Y22" s="80"/>
      <c r="Z22" s="318"/>
      <c r="AA22" s="318"/>
      <c r="AB22" s="318"/>
      <c r="AC22" s="318"/>
      <c r="AD22" s="318"/>
      <c r="AE22" s="318"/>
      <c r="AF22" s="318"/>
      <c r="AG22" s="357">
        <f>SUM(AY7:BA9)</f>
        <v>0</v>
      </c>
      <c r="AH22" s="357"/>
      <c r="AI22" s="298">
        <f>SUM(AY10:BA12)</f>
        <v>0</v>
      </c>
      <c r="AJ22" s="298"/>
      <c r="AK22" s="95"/>
      <c r="AL22" s="358">
        <f>SUM(AY13:BA15)</f>
        <v>0</v>
      </c>
      <c r="AM22" s="358"/>
      <c r="AN22" s="359"/>
      <c r="AO22" s="360">
        <f>SUM(AG22:AN22)</f>
        <v>0</v>
      </c>
      <c r="AP22" s="361"/>
      <c r="AQ22" s="361"/>
      <c r="AR22" s="361"/>
      <c r="AS22" s="362"/>
      <c r="AT22" s="98" t="s">
        <v>69</v>
      </c>
      <c r="AU22" s="363" t="s">
        <v>48</v>
      </c>
      <c r="AV22" s="364"/>
      <c r="AW22" s="365" t="s">
        <v>49</v>
      </c>
      <c r="AX22" s="366"/>
      <c r="AY22" s="332" t="s">
        <v>68</v>
      </c>
      <c r="AZ22" s="333"/>
      <c r="BA22" s="334" t="s">
        <v>57</v>
      </c>
      <c r="BB22" s="335"/>
    </row>
    <row r="23" spans="18:62" ht="59.25" customHeight="1">
      <c r="S23" s="336" t="s">
        <v>61</v>
      </c>
      <c r="T23" s="337"/>
      <c r="U23" s="337"/>
      <c r="V23" s="337"/>
      <c r="W23" s="338"/>
      <c r="X23" s="85">
        <f>SUM(X18+X19+X20+X21+X22)</f>
        <v>0</v>
      </c>
      <c r="Y23" s="137" t="s">
        <v>62</v>
      </c>
      <c r="Z23" s="86"/>
      <c r="AA23" s="87"/>
      <c r="AB23" s="87"/>
      <c r="AC23" s="339" t="s">
        <v>63</v>
      </c>
      <c r="AD23" s="339"/>
      <c r="AE23" s="340"/>
      <c r="AF23" s="341"/>
      <c r="AG23" s="342" t="s">
        <v>22</v>
      </c>
      <c r="AH23" s="343"/>
      <c r="AI23" s="344"/>
      <c r="AJ23" s="345" t="s">
        <v>48</v>
      </c>
      <c r="AK23" s="346"/>
      <c r="AL23" s="346"/>
      <c r="AM23" s="347"/>
      <c r="AN23" s="348" t="s">
        <v>49</v>
      </c>
      <c r="AO23" s="348"/>
      <c r="AP23" s="348"/>
      <c r="AQ23" s="349" t="s">
        <v>68</v>
      </c>
      <c r="AR23" s="350"/>
      <c r="AS23" s="351"/>
      <c r="AT23" s="96" t="s">
        <v>60</v>
      </c>
      <c r="AU23" s="352">
        <f>SUM(AQ7:AQ9)</f>
        <v>0</v>
      </c>
      <c r="AV23" s="353"/>
      <c r="AW23" s="352">
        <f>SUM(AQ10:AQ12)</f>
        <v>0</v>
      </c>
      <c r="AX23" s="354"/>
      <c r="AY23" s="352">
        <f>SUM(AQ13:AQ15)</f>
        <v>0</v>
      </c>
      <c r="AZ23" s="353"/>
      <c r="BA23" s="355">
        <f>SUM(AU23:AZ23)</f>
        <v>0</v>
      </c>
      <c r="BB23" s="356"/>
    </row>
    <row r="24" spans="18:62" ht="57" customHeight="1">
      <c r="S24" s="367"/>
      <c r="T24" s="368"/>
      <c r="U24" s="368"/>
      <c r="V24" s="368"/>
      <c r="W24" s="369"/>
      <c r="X24" s="373" t="s">
        <v>73</v>
      </c>
      <c r="Y24" s="104" t="s">
        <v>70</v>
      </c>
      <c r="Z24" s="105" t="s">
        <v>71</v>
      </c>
      <c r="AA24" s="103"/>
      <c r="AB24" s="103"/>
      <c r="AC24" s="375" t="s">
        <v>72</v>
      </c>
      <c r="AD24" s="376"/>
      <c r="AE24" s="377" t="s">
        <v>57</v>
      </c>
      <c r="AF24" s="378"/>
      <c r="AG24" s="379" t="s">
        <v>58</v>
      </c>
      <c r="AH24" s="380"/>
      <c r="AI24" s="381"/>
      <c r="AJ24" s="382">
        <f>AVERAGE(Z7:Z9)</f>
        <v>0</v>
      </c>
      <c r="AK24" s="383"/>
      <c r="AL24" s="383"/>
      <c r="AM24" s="383"/>
      <c r="AN24" s="382">
        <f>AVERAGE(Z10:Z12)</f>
        <v>0</v>
      </c>
      <c r="AO24" s="383"/>
      <c r="AP24" s="383"/>
      <c r="AQ24" s="382">
        <f>AVERAGE(Z13:Z14)</f>
        <v>0</v>
      </c>
      <c r="AR24" s="383"/>
      <c r="AS24" s="383"/>
      <c r="AT24" s="97" t="s">
        <v>64</v>
      </c>
      <c r="AU24" s="387">
        <f>SUM(AL7:AP9)</f>
        <v>0</v>
      </c>
      <c r="AV24" s="388"/>
      <c r="AW24" s="387">
        <f>SUM(AL10:AP12)</f>
        <v>0</v>
      </c>
      <c r="AX24" s="388"/>
      <c r="AY24" s="387">
        <f>SUM(AL13:AP15)</f>
        <v>0</v>
      </c>
      <c r="AZ24" s="388"/>
      <c r="BA24" s="389">
        <f>SUM(AU24:AZ24)</f>
        <v>0</v>
      </c>
      <c r="BB24" s="390"/>
    </row>
    <row r="25" spans="18:62" ht="52.5" customHeight="1">
      <c r="S25" s="370"/>
      <c r="T25" s="371"/>
      <c r="U25" s="371"/>
      <c r="V25" s="371"/>
      <c r="W25" s="372"/>
      <c r="X25" s="374"/>
      <c r="Y25" s="106">
        <f>SUM(AD7:AD9)</f>
        <v>0</v>
      </c>
      <c r="Z25" s="106">
        <f>SUM(AD10:AD12)</f>
        <v>0</v>
      </c>
      <c r="AA25" s="107"/>
      <c r="AB25" s="107"/>
      <c r="AC25" s="391">
        <f>SUM(AD13:AD15)</f>
        <v>0</v>
      </c>
      <c r="AD25" s="392"/>
      <c r="AE25" s="393">
        <f>SUM(Y25:AD25)</f>
        <v>0</v>
      </c>
      <c r="AF25" s="394"/>
      <c r="AG25" s="379" t="s">
        <v>59</v>
      </c>
      <c r="AH25" s="380"/>
      <c r="AI25" s="381"/>
      <c r="AJ25" s="382">
        <f>SUM(Z7:Z9)</f>
        <v>0</v>
      </c>
      <c r="AK25" s="383"/>
      <c r="AL25" s="383"/>
      <c r="AM25" s="383"/>
      <c r="AN25" s="382">
        <f>SUM(Z10:Z12)</f>
        <v>0</v>
      </c>
      <c r="AO25" s="383"/>
      <c r="AP25" s="383"/>
      <c r="AQ25" s="382">
        <f>SUM(Z13:Z15)</f>
        <v>0</v>
      </c>
      <c r="AR25" s="383"/>
      <c r="AS25" s="383"/>
      <c r="AT25" s="384"/>
      <c r="AU25" s="385"/>
      <c r="AV25" s="385"/>
      <c r="AW25" s="385"/>
      <c r="AX25" s="385"/>
      <c r="AY25" s="385"/>
      <c r="AZ25" s="385"/>
      <c r="BA25" s="385"/>
      <c r="BB25" s="386"/>
    </row>
    <row r="26" spans="18:62" ht="60.75" customHeight="1"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8:62" ht="30" customHeight="1"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8:62" ht="30" customHeight="1"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T28" s="4"/>
      <c r="AU28" s="4"/>
      <c r="AV28" s="4"/>
      <c r="AW28" s="4"/>
      <c r="AX28" s="4"/>
      <c r="AY28" s="4"/>
      <c r="AZ28" s="4"/>
      <c r="BA28" s="4"/>
    </row>
    <row r="29" spans="18:62" ht="30" customHeight="1"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T29" s="4"/>
      <c r="AU29" s="4"/>
      <c r="AV29" s="4"/>
      <c r="AW29" s="4"/>
      <c r="AX29" s="4"/>
      <c r="AY29" s="4"/>
      <c r="AZ29" s="4"/>
      <c r="BA29" s="4"/>
    </row>
    <row r="30" spans="18:62" ht="30" customHeight="1">
      <c r="R30" s="3"/>
      <c r="S30" s="3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T30" s="4"/>
      <c r="AU30" s="4"/>
      <c r="AV30" s="4"/>
      <c r="AW30" s="4"/>
      <c r="AX30" s="4"/>
      <c r="AY30" s="4"/>
      <c r="AZ30" s="4"/>
      <c r="BA30" s="4"/>
    </row>
    <row r="31" spans="18:62" ht="30" customHeight="1">
      <c r="R31" s="3"/>
      <c r="S31" s="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T31" s="4"/>
      <c r="AU31" s="4"/>
      <c r="AV31" s="4"/>
      <c r="AW31" s="4"/>
      <c r="AX31" s="4"/>
      <c r="AY31" s="4"/>
      <c r="AZ31" s="4"/>
      <c r="BA31" s="4"/>
    </row>
    <row r="32" spans="18:62" ht="15" customHeight="1">
      <c r="S32" s="3"/>
      <c r="BJ32" s="4">
        <v>8</v>
      </c>
    </row>
  </sheetData>
  <mergeCells count="145">
    <mergeCell ref="S1:W3"/>
    <mergeCell ref="X1:Y3"/>
    <mergeCell ref="AC1:AE1"/>
    <mergeCell ref="AF1:AH1"/>
    <mergeCell ref="AI1:AL1"/>
    <mergeCell ref="AM1:AP1"/>
    <mergeCell ref="AF3:AH3"/>
    <mergeCell ref="AI3:AL3"/>
    <mergeCell ref="AM3:AP3"/>
    <mergeCell ref="AQ1:AT1"/>
    <mergeCell ref="AU1:AW1"/>
    <mergeCell ref="AF5:AF6"/>
    <mergeCell ref="AG5:AG6"/>
    <mergeCell ref="AX1:BB3"/>
    <mergeCell ref="AC2:AE2"/>
    <mergeCell ref="AF2:AH2"/>
    <mergeCell ref="AI2:AL2"/>
    <mergeCell ref="AM2:AP2"/>
    <mergeCell ref="AQ2:AT2"/>
    <mergeCell ref="AU2:AW2"/>
    <mergeCell ref="AC3:AE3"/>
    <mergeCell ref="AQ3:AT3"/>
    <mergeCell ref="AU3:AW3"/>
    <mergeCell ref="AX4:BB4"/>
    <mergeCell ref="BA5:BA6"/>
    <mergeCell ref="BB5:BB6"/>
    <mergeCell ref="S4:Z4"/>
    <mergeCell ref="AA4:AB4"/>
    <mergeCell ref="AC4:AD4"/>
    <mergeCell ref="AE4:AJ4"/>
    <mergeCell ref="AL4:AQ4"/>
    <mergeCell ref="AS4:AW4"/>
    <mergeCell ref="T7:T9"/>
    <mergeCell ref="T10:T12"/>
    <mergeCell ref="T13:T15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S16:AF16"/>
    <mergeCell ref="AG16:AS16"/>
    <mergeCell ref="AT16:BB16"/>
    <mergeCell ref="AU5:AU6"/>
    <mergeCell ref="AV5:AV6"/>
    <mergeCell ref="AW5:AW6"/>
    <mergeCell ref="AX5:AX6"/>
    <mergeCell ref="AY5:AY6"/>
    <mergeCell ref="AZ5:AZ6"/>
    <mergeCell ref="AH5:AH6"/>
    <mergeCell ref="AI5:AI6"/>
    <mergeCell ref="AJ5:AJ6"/>
    <mergeCell ref="AK5:AR5"/>
    <mergeCell ref="AS5:AS6"/>
    <mergeCell ref="AT5:AT6"/>
    <mergeCell ref="AB5:AB6"/>
    <mergeCell ref="AC5:AC6"/>
    <mergeCell ref="AD5:AD6"/>
    <mergeCell ref="AE5:AE6"/>
    <mergeCell ref="AU18:AV18"/>
    <mergeCell ref="BA18:BB18"/>
    <mergeCell ref="T19:U19"/>
    <mergeCell ref="V19:W19"/>
    <mergeCell ref="Z19:AF19"/>
    <mergeCell ref="AG19:AS19"/>
    <mergeCell ref="AU19:AV19"/>
    <mergeCell ref="BA19:BB19"/>
    <mergeCell ref="AO17:AS17"/>
    <mergeCell ref="AU17:AV17"/>
    <mergeCell ref="BA17:BB17"/>
    <mergeCell ref="T18:U18"/>
    <mergeCell ref="V18:W18"/>
    <mergeCell ref="Z18:AF18"/>
    <mergeCell ref="AG18:AH18"/>
    <mergeCell ref="AI18:AJ18"/>
    <mergeCell ref="AL18:AN18"/>
    <mergeCell ref="AO18:AS18"/>
    <mergeCell ref="T17:U17"/>
    <mergeCell ref="V17:W17"/>
    <mergeCell ref="Z17:AF17"/>
    <mergeCell ref="AG17:AH17"/>
    <mergeCell ref="AI17:AJ17"/>
    <mergeCell ref="AL17:AN17"/>
    <mergeCell ref="AO20:AS20"/>
    <mergeCell ref="AU20:AV20"/>
    <mergeCell ref="BA20:BB20"/>
    <mergeCell ref="T21:U21"/>
    <mergeCell ref="V21:W21"/>
    <mergeCell ref="Z21:AF21"/>
    <mergeCell ref="AG21:AS21"/>
    <mergeCell ref="AT21:AV21"/>
    <mergeCell ref="AW21:AX21"/>
    <mergeCell ref="AY21:AZ21"/>
    <mergeCell ref="T20:U20"/>
    <mergeCell ref="V20:W20"/>
    <mergeCell ref="Z20:AF20"/>
    <mergeCell ref="AG20:AH20"/>
    <mergeCell ref="AI20:AJ20"/>
    <mergeCell ref="AL20:AN20"/>
    <mergeCell ref="BA21:BB21"/>
    <mergeCell ref="AY22:AZ22"/>
    <mergeCell ref="BA22:BB22"/>
    <mergeCell ref="S23:W23"/>
    <mergeCell ref="AC23:AD23"/>
    <mergeCell ref="AE23:AF23"/>
    <mergeCell ref="AG23:AI23"/>
    <mergeCell ref="AJ23:AM23"/>
    <mergeCell ref="AN23:AP23"/>
    <mergeCell ref="AQ23:AS23"/>
    <mergeCell ref="AU23:AV23"/>
    <mergeCell ref="AW23:AX23"/>
    <mergeCell ref="AY23:AZ23"/>
    <mergeCell ref="BA23:BB23"/>
    <mergeCell ref="T22:U22"/>
    <mergeCell ref="V22:W22"/>
    <mergeCell ref="Z22:AF22"/>
    <mergeCell ref="AG22:AH22"/>
    <mergeCell ref="AI22:AJ22"/>
    <mergeCell ref="AL22:AN22"/>
    <mergeCell ref="AO22:AS22"/>
    <mergeCell ref="AU22:AV22"/>
    <mergeCell ref="AW22:AX22"/>
    <mergeCell ref="S24:W25"/>
    <mergeCell ref="X24:X25"/>
    <mergeCell ref="AC24:AD24"/>
    <mergeCell ref="AE24:AF24"/>
    <mergeCell ref="AG24:AI24"/>
    <mergeCell ref="AJ24:AM24"/>
    <mergeCell ref="AN24:AP24"/>
    <mergeCell ref="AQ25:AS25"/>
    <mergeCell ref="AT25:BB25"/>
    <mergeCell ref="AQ24:AS24"/>
    <mergeCell ref="AU24:AV24"/>
    <mergeCell ref="AW24:AX24"/>
    <mergeCell ref="AY24:AZ24"/>
    <mergeCell ref="BA24:BB24"/>
    <mergeCell ref="AC25:AD25"/>
    <mergeCell ref="AE25:AF25"/>
    <mergeCell ref="AG25:AI25"/>
    <mergeCell ref="AJ25:AM25"/>
    <mergeCell ref="AN25:AP25"/>
  </mergeCells>
  <conditionalFormatting sqref="Z7:Z15">
    <cfRule type="cellIs" dxfId="298" priority="3" operator="greaterThan">
      <formula>0.167361111111111</formula>
    </cfRule>
    <cfRule type="cellIs" dxfId="297" priority="4" operator="greaterThan">
      <formula>0.15625</formula>
    </cfRule>
  </conditionalFormatting>
  <conditionalFormatting sqref="AA7:AJ15">
    <cfRule type="cellIs" dxfId="296" priority="11" operator="between">
      <formula>1700</formula>
      <formula>1710</formula>
    </cfRule>
    <cfRule type="cellIs" dxfId="295" priority="12" operator="between">
      <formula>1691</formula>
      <formula>1700</formula>
    </cfRule>
  </conditionalFormatting>
  <conditionalFormatting sqref="AS7:AS15">
    <cfRule type="expression" dxfId="294" priority="13">
      <formula>IF(($AS7/$AX7)*1000&gt;$AY$1,1,0)</formula>
    </cfRule>
  </conditionalFormatting>
  <conditionalFormatting sqref="AT7:AW15">
    <cfRule type="cellIs" dxfId="293" priority="5" operator="greaterThan">
      <formula>10</formula>
    </cfRule>
  </conditionalFormatting>
  <conditionalFormatting sqref="AX7:AX15">
    <cfRule type="cellIs" dxfId="292" priority="2" operator="between">
      <formula>16000</formula>
      <formula>17200</formula>
    </cfRule>
    <cfRule type="cellIs" dxfId="291" priority="6" operator="lessThan">
      <formula>15800</formula>
    </cfRule>
    <cfRule type="cellIs" dxfId="290" priority="7" operator="greaterThan">
      <formula>18000</formula>
    </cfRule>
  </conditionalFormatting>
  <conditionalFormatting sqref="AZ7:BA15">
    <cfRule type="cellIs" dxfId="289" priority="10" operator="greaterThan">
      <formula>0</formula>
    </cfRule>
  </conditionalFormatting>
  <conditionalFormatting sqref="BB7:BB15">
    <cfRule type="cellIs" dxfId="288" priority="1" operator="between">
      <formula>16000</formula>
      <formula>17200</formula>
    </cfRule>
    <cfRule type="cellIs" dxfId="287" priority="8" operator="greaterThan">
      <formula>18000</formula>
    </cfRule>
    <cfRule type="cellIs" dxfId="286" priority="9" operator="lessThan">
      <formula>15800</formula>
    </cfRule>
  </conditionalFormatting>
  <printOptions horizontalCentered="1" verticalCentered="1"/>
  <pageMargins left="0" right="0" top="0" bottom="0.21" header="0" footer="0"/>
  <pageSetup paperSize="9" scale="42" orientation="landscape" cellComments="asDisplayed" r:id="rId1"/>
  <headerFooter differentFirst="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21FBB-0D6F-4D70-B922-3226EE44D335}">
  <sheetPr>
    <tabColor theme="5"/>
    <pageSetUpPr fitToPage="1"/>
  </sheetPr>
  <dimension ref="R1:BJ32"/>
  <sheetViews>
    <sheetView showGridLines="0" rightToLeft="1" topLeftCell="M1" zoomScale="55" zoomScaleNormal="55" zoomScalePageLayoutView="40" workbookViewId="0">
      <selection activeCell="AU9" sqref="AU9"/>
    </sheetView>
  </sheetViews>
  <sheetFormatPr defaultColWidth="9.140625" defaultRowHeight="15"/>
  <cols>
    <col min="1" max="18" width="9.140625" style="4"/>
    <col min="19" max="19" width="5.7109375" style="4" customWidth="1"/>
    <col min="20" max="20" width="9.5703125" style="3" customWidth="1"/>
    <col min="21" max="21" width="10.7109375" style="3" customWidth="1"/>
    <col min="22" max="22" width="9.42578125" style="88" customWidth="1"/>
    <col min="23" max="23" width="8.85546875" style="88" customWidth="1"/>
    <col min="24" max="24" width="14.42578125" style="3" customWidth="1"/>
    <col min="25" max="25" width="14.7109375" style="3" customWidth="1"/>
    <col min="26" max="26" width="15.140625" style="88" customWidth="1"/>
    <col min="27" max="27" width="9.5703125" style="3" hidden="1" customWidth="1"/>
    <col min="28" max="28" width="10" style="3" hidden="1" customWidth="1"/>
    <col min="29" max="29" width="8.140625" style="3" customWidth="1"/>
    <col min="30" max="30" width="8.5703125" style="3" customWidth="1"/>
    <col min="31" max="31" width="12.42578125" style="3" customWidth="1"/>
    <col min="32" max="32" width="10.5703125" style="3" customWidth="1"/>
    <col min="33" max="33" width="9.5703125" style="3" customWidth="1"/>
    <col min="34" max="34" width="11.42578125" style="3" customWidth="1"/>
    <col min="35" max="35" width="9.42578125" style="3" customWidth="1"/>
    <col min="36" max="36" width="9.28515625" style="3" customWidth="1"/>
    <col min="37" max="37" width="6.7109375" style="3" hidden="1" customWidth="1"/>
    <col min="38" max="42" width="6.7109375" style="3" customWidth="1"/>
    <col min="43" max="43" width="8.140625" style="3" customWidth="1"/>
    <col min="44" max="44" width="6.7109375" style="3" hidden="1" customWidth="1"/>
    <col min="45" max="45" width="10.42578125" style="3" customWidth="1"/>
    <col min="46" max="46" width="8.7109375" style="3" customWidth="1"/>
    <col min="47" max="47" width="8.5703125" style="3" customWidth="1"/>
    <col min="48" max="48" width="8.7109375" style="3" customWidth="1"/>
    <col min="49" max="49" width="9.5703125" style="3" customWidth="1"/>
    <col min="50" max="50" width="12.42578125" style="88" customWidth="1"/>
    <col min="51" max="51" width="11.85546875" style="3" customWidth="1"/>
    <col min="52" max="52" width="11.5703125" style="3" customWidth="1"/>
    <col min="53" max="53" width="13.42578125" style="3" customWidth="1"/>
    <col min="54" max="54" width="13.5703125" style="4" customWidth="1"/>
    <col min="55" max="57" width="9.140625" style="4"/>
    <col min="58" max="58" width="25" style="4" customWidth="1"/>
    <col min="59" max="61" width="9.140625" style="4"/>
    <col min="62" max="62" width="23.5703125" style="4" customWidth="1"/>
    <col min="63" max="16384" width="9.140625" style="4"/>
  </cols>
  <sheetData>
    <row r="1" spans="19:54" ht="36.75" customHeight="1" thickBot="1">
      <c r="S1" s="180"/>
      <c r="T1" s="181"/>
      <c r="U1" s="181"/>
      <c r="V1" s="181"/>
      <c r="W1" s="181"/>
      <c r="X1" s="182" t="s">
        <v>0</v>
      </c>
      <c r="Y1" s="183"/>
      <c r="Z1" s="1" t="s">
        <v>1</v>
      </c>
      <c r="AA1" s="2"/>
      <c r="AC1" s="188" t="s">
        <v>2</v>
      </c>
      <c r="AD1" s="189"/>
      <c r="AE1" s="189"/>
      <c r="AF1" s="190" t="s">
        <v>75</v>
      </c>
      <c r="AG1" s="191"/>
      <c r="AH1" s="192"/>
      <c r="AI1" s="193" t="s">
        <v>3</v>
      </c>
      <c r="AJ1" s="194"/>
      <c r="AK1" s="194"/>
      <c r="AL1" s="195"/>
      <c r="AM1" s="196" t="s">
        <v>76</v>
      </c>
      <c r="AN1" s="197"/>
      <c r="AO1" s="197"/>
      <c r="AP1" s="198"/>
      <c r="AQ1" s="203" t="s">
        <v>4</v>
      </c>
      <c r="AR1" s="204"/>
      <c r="AS1" s="204"/>
      <c r="AT1" s="205"/>
      <c r="AU1" s="206" t="s">
        <v>74</v>
      </c>
      <c r="AV1" s="207"/>
      <c r="AW1" s="208"/>
      <c r="AX1" s="211" t="s">
        <v>114</v>
      </c>
      <c r="AY1" s="211"/>
      <c r="AZ1" s="211"/>
      <c r="BA1" s="211"/>
      <c r="BB1" s="211"/>
    </row>
    <row r="2" spans="19:54" ht="36.75" customHeight="1" thickBot="1">
      <c r="S2" s="180"/>
      <c r="T2" s="181"/>
      <c r="U2" s="181"/>
      <c r="V2" s="181"/>
      <c r="W2" s="181"/>
      <c r="X2" s="184"/>
      <c r="Y2" s="185"/>
      <c r="Z2" s="5" t="s">
        <v>5</v>
      </c>
      <c r="AA2" s="89"/>
      <c r="AC2" s="188" t="s">
        <v>2</v>
      </c>
      <c r="AD2" s="189"/>
      <c r="AE2" s="212"/>
      <c r="AF2" s="190" t="s">
        <v>78</v>
      </c>
      <c r="AG2" s="191"/>
      <c r="AH2" s="192"/>
      <c r="AI2" s="193" t="s">
        <v>3</v>
      </c>
      <c r="AJ2" s="194"/>
      <c r="AK2" s="194"/>
      <c r="AL2" s="195"/>
      <c r="AM2" s="202" t="s">
        <v>79</v>
      </c>
      <c r="AN2" s="202"/>
      <c r="AO2" s="202"/>
      <c r="AP2" s="202"/>
      <c r="AQ2" s="203" t="s">
        <v>4</v>
      </c>
      <c r="AR2" s="204"/>
      <c r="AS2" s="204"/>
      <c r="AT2" s="205"/>
      <c r="AU2" s="213" t="s">
        <v>77</v>
      </c>
      <c r="AV2" s="213"/>
      <c r="AW2" s="213"/>
      <c r="AX2" s="211"/>
      <c r="AY2" s="211"/>
      <c r="AZ2" s="211"/>
      <c r="BA2" s="211"/>
      <c r="BB2" s="211"/>
    </row>
    <row r="3" spans="19:54" ht="38.25" customHeight="1" thickBot="1">
      <c r="S3" s="181"/>
      <c r="T3" s="181"/>
      <c r="U3" s="181"/>
      <c r="V3" s="181"/>
      <c r="W3" s="181"/>
      <c r="X3" s="186"/>
      <c r="Y3" s="187"/>
      <c r="Z3" s="90" t="s">
        <v>65</v>
      </c>
      <c r="AA3" s="6"/>
      <c r="AC3" s="188" t="s">
        <v>6</v>
      </c>
      <c r="AD3" s="189"/>
      <c r="AE3" s="212"/>
      <c r="AF3" s="190" t="s">
        <v>81</v>
      </c>
      <c r="AG3" s="191"/>
      <c r="AH3" s="192"/>
      <c r="AI3" s="199" t="s">
        <v>7</v>
      </c>
      <c r="AJ3" s="200"/>
      <c r="AK3" s="200"/>
      <c r="AL3" s="201"/>
      <c r="AM3" s="202" t="s">
        <v>82</v>
      </c>
      <c r="AN3" s="202"/>
      <c r="AO3" s="202"/>
      <c r="AP3" s="202"/>
      <c r="AQ3" s="203" t="s">
        <v>4</v>
      </c>
      <c r="AR3" s="204"/>
      <c r="AS3" s="204"/>
      <c r="AT3" s="214"/>
      <c r="AU3" s="215" t="s">
        <v>80</v>
      </c>
      <c r="AV3" s="216"/>
      <c r="AW3" s="217"/>
      <c r="AX3" s="211"/>
      <c r="AY3" s="211"/>
      <c r="AZ3" s="211"/>
      <c r="BA3" s="211"/>
      <c r="BB3" s="211"/>
    </row>
    <row r="4" spans="19:54" ht="34.5" customHeight="1" thickBot="1">
      <c r="S4" s="225" t="s">
        <v>8</v>
      </c>
      <c r="T4" s="226"/>
      <c r="U4" s="226"/>
      <c r="V4" s="226"/>
      <c r="W4" s="226"/>
      <c r="X4" s="227"/>
      <c r="Y4" s="227"/>
      <c r="Z4" s="228"/>
      <c r="AA4" s="229" t="s">
        <v>9</v>
      </c>
      <c r="AB4" s="230"/>
      <c r="AC4" s="231" t="s">
        <v>10</v>
      </c>
      <c r="AD4" s="232"/>
      <c r="AE4" s="233" t="s">
        <v>11</v>
      </c>
      <c r="AF4" s="234"/>
      <c r="AG4" s="234"/>
      <c r="AH4" s="234"/>
      <c r="AI4" s="234"/>
      <c r="AJ4" s="235"/>
      <c r="AK4" s="7"/>
      <c r="AL4" s="236" t="s">
        <v>12</v>
      </c>
      <c r="AM4" s="237"/>
      <c r="AN4" s="237"/>
      <c r="AO4" s="237"/>
      <c r="AP4" s="237"/>
      <c r="AQ4" s="237"/>
      <c r="AR4" s="8"/>
      <c r="AS4" s="238" t="s">
        <v>13</v>
      </c>
      <c r="AT4" s="239"/>
      <c r="AU4" s="239"/>
      <c r="AV4" s="239"/>
      <c r="AW4" s="240"/>
      <c r="AX4" s="218" t="s">
        <v>14</v>
      </c>
      <c r="AY4" s="219"/>
      <c r="AZ4" s="219"/>
      <c r="BA4" s="219"/>
      <c r="BB4" s="220"/>
    </row>
    <row r="5" spans="19:54" ht="52.5" customHeight="1">
      <c r="S5" s="246" t="s">
        <v>15</v>
      </c>
      <c r="T5" s="248" t="s">
        <v>16</v>
      </c>
      <c r="U5" s="248" t="s">
        <v>17</v>
      </c>
      <c r="V5" s="248" t="s">
        <v>18</v>
      </c>
      <c r="W5" s="248" t="s">
        <v>19</v>
      </c>
      <c r="X5" s="248" t="s">
        <v>20</v>
      </c>
      <c r="Y5" s="248" t="s">
        <v>21</v>
      </c>
      <c r="Z5" s="250" t="s">
        <v>22</v>
      </c>
      <c r="AA5" s="252" t="s">
        <v>23</v>
      </c>
      <c r="AB5" s="270" t="s">
        <v>9</v>
      </c>
      <c r="AC5" s="272" t="s">
        <v>24</v>
      </c>
      <c r="AD5" s="272" t="s">
        <v>25</v>
      </c>
      <c r="AE5" s="274" t="s">
        <v>26</v>
      </c>
      <c r="AF5" s="209" t="s">
        <v>27</v>
      </c>
      <c r="AG5" s="209" t="s">
        <v>28</v>
      </c>
      <c r="AH5" s="263" t="s">
        <v>29</v>
      </c>
      <c r="AI5" s="263" t="s">
        <v>30</v>
      </c>
      <c r="AJ5" s="265" t="s">
        <v>31</v>
      </c>
      <c r="AK5" s="267" t="s">
        <v>32</v>
      </c>
      <c r="AL5" s="268"/>
      <c r="AM5" s="268"/>
      <c r="AN5" s="268"/>
      <c r="AO5" s="268"/>
      <c r="AP5" s="268"/>
      <c r="AQ5" s="268"/>
      <c r="AR5" s="269"/>
      <c r="AS5" s="259" t="s">
        <v>33</v>
      </c>
      <c r="AT5" s="259" t="s">
        <v>34</v>
      </c>
      <c r="AU5" s="259" t="s">
        <v>35</v>
      </c>
      <c r="AV5" s="259" t="s">
        <v>66</v>
      </c>
      <c r="AW5" s="261" t="s">
        <v>36</v>
      </c>
      <c r="AX5" s="252" t="s">
        <v>37</v>
      </c>
      <c r="AY5" s="221" t="s">
        <v>38</v>
      </c>
      <c r="AZ5" s="221" t="s">
        <v>39</v>
      </c>
      <c r="BA5" s="221" t="s">
        <v>40</v>
      </c>
      <c r="BB5" s="223" t="s">
        <v>41</v>
      </c>
    </row>
    <row r="6" spans="19:54" ht="27.95" customHeight="1" thickBot="1">
      <c r="S6" s="247"/>
      <c r="T6" s="249"/>
      <c r="U6" s="249"/>
      <c r="V6" s="249"/>
      <c r="W6" s="249"/>
      <c r="X6" s="249"/>
      <c r="Y6" s="249"/>
      <c r="Z6" s="251"/>
      <c r="AA6" s="253"/>
      <c r="AB6" s="271"/>
      <c r="AC6" s="273"/>
      <c r="AD6" s="273"/>
      <c r="AE6" s="275"/>
      <c r="AF6" s="210"/>
      <c r="AG6" s="210"/>
      <c r="AH6" s="264"/>
      <c r="AI6" s="264"/>
      <c r="AJ6" s="266"/>
      <c r="AK6" s="9">
        <v>1</v>
      </c>
      <c r="AL6" s="10">
        <v>2</v>
      </c>
      <c r="AM6" s="10">
        <v>3</v>
      </c>
      <c r="AN6" s="10">
        <v>4</v>
      </c>
      <c r="AO6" s="10">
        <v>5</v>
      </c>
      <c r="AP6" s="10">
        <v>6</v>
      </c>
      <c r="AQ6" s="10">
        <v>12</v>
      </c>
      <c r="AR6" s="11"/>
      <c r="AS6" s="260"/>
      <c r="AT6" s="260"/>
      <c r="AU6" s="260"/>
      <c r="AV6" s="260"/>
      <c r="AW6" s="262"/>
      <c r="AX6" s="253"/>
      <c r="AY6" s="222"/>
      <c r="AZ6" s="222"/>
      <c r="BA6" s="222"/>
      <c r="BB6" s="224"/>
    </row>
    <row r="7" spans="19:54" s="34" customFormat="1" ht="48" customHeight="1" thickBot="1">
      <c r="S7" s="12">
        <v>1</v>
      </c>
      <c r="T7" s="241" t="s">
        <v>1</v>
      </c>
      <c r="U7" s="13"/>
      <c r="V7" s="14"/>
      <c r="W7" s="15"/>
      <c r="X7" s="16"/>
      <c r="Y7" s="17"/>
      <c r="Z7" s="18">
        <f t="shared" ref="Z7:Z15" si="0">IF(Y7&lt;X7,1+Y7-X7,Y7-X7)</f>
        <v>0</v>
      </c>
      <c r="AA7" s="19"/>
      <c r="AB7" s="20"/>
      <c r="AC7" s="21"/>
      <c r="AD7" s="100"/>
      <c r="AE7" s="22"/>
      <c r="AF7" s="23"/>
      <c r="AG7" s="23"/>
      <c r="AH7" s="23"/>
      <c r="AI7" s="23"/>
      <c r="AJ7" s="24"/>
      <c r="AK7" s="25"/>
      <c r="AL7" s="26"/>
      <c r="AM7" s="26"/>
      <c r="AN7" s="26"/>
      <c r="AO7" s="26"/>
      <c r="AP7" s="26"/>
      <c r="AQ7" s="26"/>
      <c r="AR7" s="27"/>
      <c r="AS7" s="28"/>
      <c r="AT7" s="13"/>
      <c r="AU7" s="13"/>
      <c r="AV7" s="13"/>
      <c r="AW7" s="29"/>
      <c r="AX7" s="30">
        <f t="shared" ref="AX7:AX15" si="1">SUM(AY7:BB7)</f>
        <v>0</v>
      </c>
      <c r="AY7" s="31">
        <v>0</v>
      </c>
      <c r="AZ7" s="32">
        <v>0</v>
      </c>
      <c r="BA7" s="31">
        <v>0</v>
      </c>
      <c r="BB7" s="33">
        <f t="shared" ref="BB7:BB15" si="2">SUM(($AQ$6*AQ7+$AP$6*AP7+$AN$6*AN7+$AM$6*$AM7+$AL$6*AL7+$AK$6*AK7+$AO$6*AO7+$AR$6*AR7)*175)</f>
        <v>0</v>
      </c>
    </row>
    <row r="8" spans="19:54" s="34" customFormat="1" ht="48" customHeight="1" thickBot="1">
      <c r="S8" s="12">
        <v>2</v>
      </c>
      <c r="T8" s="242"/>
      <c r="U8" s="35"/>
      <c r="V8" s="135"/>
      <c r="W8" s="135"/>
      <c r="X8" s="36"/>
      <c r="Y8" s="36"/>
      <c r="Z8" s="37">
        <f t="shared" si="0"/>
        <v>0</v>
      </c>
      <c r="AA8" s="38"/>
      <c r="AB8" s="39"/>
      <c r="AC8" s="147"/>
      <c r="AD8" s="101"/>
      <c r="AE8" s="41"/>
      <c r="AF8" s="42"/>
      <c r="AG8" s="42"/>
      <c r="AH8" s="42"/>
      <c r="AI8" s="42"/>
      <c r="AJ8" s="43"/>
      <c r="AK8" s="44"/>
      <c r="AL8" s="45"/>
      <c r="AM8" s="45"/>
      <c r="AN8" s="45"/>
      <c r="AO8" s="45"/>
      <c r="AP8" s="45"/>
      <c r="AQ8" s="45"/>
      <c r="AR8" s="46"/>
      <c r="AS8" s="47"/>
      <c r="AT8" s="35"/>
      <c r="AU8" s="35"/>
      <c r="AV8" s="35"/>
      <c r="AW8" s="48"/>
      <c r="AX8" s="49">
        <f t="shared" si="1"/>
        <v>0</v>
      </c>
      <c r="AY8" s="50">
        <v>0</v>
      </c>
      <c r="AZ8" s="51">
        <v>0</v>
      </c>
      <c r="BA8" s="52">
        <v>0</v>
      </c>
      <c r="BB8" s="53">
        <f t="shared" si="2"/>
        <v>0</v>
      </c>
    </row>
    <row r="9" spans="19:54" s="34" customFormat="1" ht="48" customHeight="1" thickBot="1">
      <c r="S9" s="12">
        <v>3</v>
      </c>
      <c r="T9" s="242"/>
      <c r="U9" s="35"/>
      <c r="V9" s="135"/>
      <c r="W9" s="135"/>
      <c r="X9" s="36"/>
      <c r="Y9" s="36"/>
      <c r="Z9" s="37">
        <f t="shared" si="0"/>
        <v>0</v>
      </c>
      <c r="AA9" s="38"/>
      <c r="AB9" s="39"/>
      <c r="AC9" s="147"/>
      <c r="AD9" s="101"/>
      <c r="AE9" s="41"/>
      <c r="AF9" s="42"/>
      <c r="AG9" s="42"/>
      <c r="AH9" s="42"/>
      <c r="AI9" s="42"/>
      <c r="AJ9" s="43"/>
      <c r="AK9" s="44"/>
      <c r="AL9" s="45"/>
      <c r="AM9" s="45"/>
      <c r="AN9" s="45"/>
      <c r="AO9" s="45"/>
      <c r="AP9" s="45"/>
      <c r="AQ9" s="45"/>
      <c r="AR9" s="46"/>
      <c r="AS9" s="47"/>
      <c r="AT9" s="35"/>
      <c r="AU9" s="35"/>
      <c r="AV9" s="35"/>
      <c r="AW9" s="48"/>
      <c r="AX9" s="49">
        <f t="shared" si="1"/>
        <v>0</v>
      </c>
      <c r="AY9" s="51">
        <v>0</v>
      </c>
      <c r="AZ9" s="52">
        <v>0</v>
      </c>
      <c r="BA9" s="51">
        <v>0</v>
      </c>
      <c r="BB9" s="53">
        <f t="shared" si="2"/>
        <v>0</v>
      </c>
    </row>
    <row r="10" spans="19:54" s="34" customFormat="1" ht="48" customHeight="1" thickBot="1">
      <c r="S10" s="12">
        <v>4</v>
      </c>
      <c r="T10" s="243" t="s">
        <v>5</v>
      </c>
      <c r="U10" s="35"/>
      <c r="V10" s="135"/>
      <c r="W10" s="135"/>
      <c r="X10" s="36"/>
      <c r="Y10" s="36"/>
      <c r="Z10" s="37">
        <f t="shared" si="0"/>
        <v>0</v>
      </c>
      <c r="AA10" s="38"/>
      <c r="AB10" s="39"/>
      <c r="AC10" s="147"/>
      <c r="AD10" s="101"/>
      <c r="AE10" s="41"/>
      <c r="AF10" s="42"/>
      <c r="AG10" s="42"/>
      <c r="AH10" s="42"/>
      <c r="AI10" s="42"/>
      <c r="AJ10" s="43"/>
      <c r="AK10" s="44"/>
      <c r="AL10" s="45"/>
      <c r="AM10" s="45"/>
      <c r="AN10" s="45"/>
      <c r="AO10" s="45"/>
      <c r="AP10" s="45"/>
      <c r="AQ10" s="45"/>
      <c r="AR10" s="46"/>
      <c r="AS10" s="47"/>
      <c r="AT10" s="35"/>
      <c r="AU10" s="35"/>
      <c r="AV10" s="35"/>
      <c r="AW10" s="48"/>
      <c r="AX10" s="49">
        <f t="shared" si="1"/>
        <v>0</v>
      </c>
      <c r="AY10" s="51">
        <v>0</v>
      </c>
      <c r="AZ10" s="52">
        <v>0</v>
      </c>
      <c r="BA10" s="51">
        <v>0</v>
      </c>
      <c r="BB10" s="53">
        <f t="shared" si="2"/>
        <v>0</v>
      </c>
    </row>
    <row r="11" spans="19:54" s="34" customFormat="1" ht="48" customHeight="1" thickBot="1">
      <c r="S11" s="12">
        <v>5</v>
      </c>
      <c r="T11" s="243"/>
      <c r="U11" s="35"/>
      <c r="V11" s="135"/>
      <c r="W11" s="135"/>
      <c r="X11" s="36"/>
      <c r="Y11" s="120"/>
      <c r="Z11" s="37">
        <f t="shared" si="0"/>
        <v>0</v>
      </c>
      <c r="AA11" s="38"/>
      <c r="AB11" s="39"/>
      <c r="AC11" s="147"/>
      <c r="AD11" s="101"/>
      <c r="AE11" s="41"/>
      <c r="AF11" s="42"/>
      <c r="AG11" s="42"/>
      <c r="AH11" s="42"/>
      <c r="AI11" s="42"/>
      <c r="AJ11" s="43"/>
      <c r="AK11" s="44"/>
      <c r="AL11" s="45"/>
      <c r="AM11" s="45"/>
      <c r="AN11" s="45"/>
      <c r="AO11" s="45"/>
      <c r="AP11" s="45"/>
      <c r="AQ11" s="45"/>
      <c r="AR11" s="46"/>
      <c r="AS11" s="47"/>
      <c r="AT11" s="35"/>
      <c r="AU11" s="35"/>
      <c r="AV11" s="35"/>
      <c r="AW11" s="48"/>
      <c r="AX11" s="49">
        <f t="shared" si="1"/>
        <v>0</v>
      </c>
      <c r="AY11" s="50">
        <v>0</v>
      </c>
      <c r="AZ11" s="51">
        <v>0</v>
      </c>
      <c r="BA11" s="52">
        <v>0</v>
      </c>
      <c r="BB11" s="53">
        <f t="shared" si="2"/>
        <v>0</v>
      </c>
    </row>
    <row r="12" spans="19:54" s="34" customFormat="1" ht="48" customHeight="1" thickBot="1">
      <c r="S12" s="12">
        <v>10</v>
      </c>
      <c r="T12" s="243"/>
      <c r="U12" s="13"/>
      <c r="V12" s="14"/>
      <c r="W12" s="14"/>
      <c r="X12" s="54"/>
      <c r="Y12" s="54"/>
      <c r="Z12" s="55">
        <f t="shared" si="0"/>
        <v>0</v>
      </c>
      <c r="AA12" s="19"/>
      <c r="AB12" s="20"/>
      <c r="AC12" s="149"/>
      <c r="AD12" s="100"/>
      <c r="AE12" s="22"/>
      <c r="AF12" s="23"/>
      <c r="AG12" s="23"/>
      <c r="AH12" s="23"/>
      <c r="AI12" s="23"/>
      <c r="AJ12" s="24"/>
      <c r="AK12" s="25"/>
      <c r="AL12" s="26"/>
      <c r="AM12" s="26"/>
      <c r="AN12" s="26"/>
      <c r="AO12" s="26"/>
      <c r="AP12" s="26"/>
      <c r="AQ12" s="26"/>
      <c r="AR12" s="27"/>
      <c r="AS12" s="28"/>
      <c r="AT12" s="13"/>
      <c r="AU12" s="13"/>
      <c r="AV12" s="13"/>
      <c r="AW12" s="29"/>
      <c r="AX12" s="30">
        <f t="shared" si="1"/>
        <v>0</v>
      </c>
      <c r="AY12" s="31">
        <v>0</v>
      </c>
      <c r="AZ12" s="32">
        <v>0</v>
      </c>
      <c r="BA12" s="31">
        <v>0</v>
      </c>
      <c r="BB12" s="56">
        <f t="shared" si="2"/>
        <v>0</v>
      </c>
    </row>
    <row r="13" spans="19:54" s="34" customFormat="1" ht="48" customHeight="1" thickBot="1">
      <c r="S13" s="12">
        <v>11</v>
      </c>
      <c r="T13" s="244" t="s">
        <v>65</v>
      </c>
      <c r="U13" s="35"/>
      <c r="V13" s="135"/>
      <c r="W13" s="135"/>
      <c r="X13" s="36"/>
      <c r="Y13" s="36"/>
      <c r="Z13" s="37">
        <f t="shared" si="0"/>
        <v>0</v>
      </c>
      <c r="AA13" s="38"/>
      <c r="AB13" s="39"/>
      <c r="AC13" s="147"/>
      <c r="AD13" s="101"/>
      <c r="AE13" s="41"/>
      <c r="AF13" s="42"/>
      <c r="AG13" s="42"/>
      <c r="AH13" s="42"/>
      <c r="AI13" s="42"/>
      <c r="AJ13" s="43"/>
      <c r="AK13" s="44"/>
      <c r="AL13" s="45"/>
      <c r="AM13" s="45"/>
      <c r="AN13" s="45"/>
      <c r="AO13" s="45"/>
      <c r="AP13" s="45"/>
      <c r="AQ13" s="45"/>
      <c r="AR13" s="46"/>
      <c r="AS13" s="47"/>
      <c r="AT13" s="35"/>
      <c r="AU13" s="35"/>
      <c r="AV13" s="35"/>
      <c r="AW13" s="48"/>
      <c r="AX13" s="49">
        <f t="shared" si="1"/>
        <v>0</v>
      </c>
      <c r="AY13" s="50">
        <v>0</v>
      </c>
      <c r="AZ13" s="51">
        <v>0</v>
      </c>
      <c r="BA13" s="52">
        <v>0</v>
      </c>
      <c r="BB13" s="57">
        <f t="shared" si="2"/>
        <v>0</v>
      </c>
    </row>
    <row r="14" spans="19:54" s="34" customFormat="1" ht="48" customHeight="1" thickBot="1">
      <c r="S14" s="12">
        <v>12</v>
      </c>
      <c r="T14" s="244"/>
      <c r="U14" s="35"/>
      <c r="V14" s="135"/>
      <c r="W14" s="135"/>
      <c r="X14" s="36"/>
      <c r="Y14" s="36"/>
      <c r="Z14" s="37">
        <f t="shared" si="0"/>
        <v>0</v>
      </c>
      <c r="AA14" s="38"/>
      <c r="AB14" s="39"/>
      <c r="AC14" s="147"/>
      <c r="AD14" s="101"/>
      <c r="AE14" s="41"/>
      <c r="AF14" s="42"/>
      <c r="AG14" s="42"/>
      <c r="AH14" s="42"/>
      <c r="AI14" s="42"/>
      <c r="AJ14" s="43"/>
      <c r="AK14" s="44"/>
      <c r="AL14" s="45"/>
      <c r="AM14" s="45"/>
      <c r="AN14" s="45"/>
      <c r="AO14" s="45"/>
      <c r="AP14" s="45"/>
      <c r="AQ14" s="45"/>
      <c r="AR14" s="46"/>
      <c r="AS14" s="47"/>
      <c r="AT14" s="35"/>
      <c r="AU14" s="35"/>
      <c r="AV14" s="35"/>
      <c r="AW14" s="48"/>
      <c r="AX14" s="49">
        <f t="shared" si="1"/>
        <v>0</v>
      </c>
      <c r="AY14" s="51">
        <v>0</v>
      </c>
      <c r="AZ14" s="52">
        <v>0</v>
      </c>
      <c r="BA14" s="51">
        <v>0</v>
      </c>
      <c r="BB14" s="57">
        <f t="shared" si="2"/>
        <v>0</v>
      </c>
    </row>
    <row r="15" spans="19:54" s="34" customFormat="1" ht="48" customHeight="1" thickBot="1">
      <c r="S15" s="12">
        <v>13</v>
      </c>
      <c r="T15" s="245"/>
      <c r="U15" s="58"/>
      <c r="V15" s="59"/>
      <c r="W15" s="59"/>
      <c r="X15" s="60"/>
      <c r="Y15" s="60"/>
      <c r="Z15" s="61">
        <f t="shared" si="0"/>
        <v>0</v>
      </c>
      <c r="AA15" s="62"/>
      <c r="AB15" s="63"/>
      <c r="AC15" s="64"/>
      <c r="AD15" s="102"/>
      <c r="AE15" s="65"/>
      <c r="AF15" s="66"/>
      <c r="AG15" s="67"/>
      <c r="AH15" s="67"/>
      <c r="AI15" s="67"/>
      <c r="AJ15" s="66"/>
      <c r="AK15" s="68"/>
      <c r="AL15" s="69"/>
      <c r="AM15" s="69"/>
      <c r="AN15" s="69"/>
      <c r="AO15" s="69"/>
      <c r="AP15" s="69"/>
      <c r="AQ15" s="69"/>
      <c r="AR15" s="70"/>
      <c r="AS15" s="71"/>
      <c r="AT15" s="35"/>
      <c r="AU15" s="35"/>
      <c r="AV15" s="35"/>
      <c r="AW15" s="48"/>
      <c r="AX15" s="49">
        <f t="shared" si="1"/>
        <v>0</v>
      </c>
      <c r="AY15" s="50">
        <v>0</v>
      </c>
      <c r="AZ15" s="51">
        <v>0</v>
      </c>
      <c r="BA15" s="52">
        <v>0</v>
      </c>
      <c r="BB15" s="57">
        <f t="shared" si="2"/>
        <v>0</v>
      </c>
    </row>
    <row r="16" spans="19:54" s="72" customFormat="1" ht="50.1" customHeight="1">
      <c r="S16" s="254" t="s">
        <v>42</v>
      </c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5" t="s">
        <v>53</v>
      </c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6" t="s">
        <v>43</v>
      </c>
      <c r="AU16" s="257"/>
      <c r="AV16" s="257"/>
      <c r="AW16" s="257"/>
      <c r="AX16" s="257"/>
      <c r="AY16" s="257"/>
      <c r="AZ16" s="257"/>
      <c r="BA16" s="257"/>
      <c r="BB16" s="258"/>
    </row>
    <row r="17" spans="18:62" s="72" customFormat="1" ht="60" customHeight="1">
      <c r="S17" s="73" t="s">
        <v>15</v>
      </c>
      <c r="T17" s="300" t="s">
        <v>44</v>
      </c>
      <c r="U17" s="301"/>
      <c r="V17" s="302" t="s">
        <v>45</v>
      </c>
      <c r="W17" s="303"/>
      <c r="X17" s="74" t="s">
        <v>46</v>
      </c>
      <c r="Y17" s="75" t="s">
        <v>67</v>
      </c>
      <c r="Z17" s="304" t="s">
        <v>47</v>
      </c>
      <c r="AA17" s="304"/>
      <c r="AB17" s="304"/>
      <c r="AC17" s="304"/>
      <c r="AD17" s="304"/>
      <c r="AE17" s="304"/>
      <c r="AF17" s="304"/>
      <c r="AG17" s="305" t="s">
        <v>48</v>
      </c>
      <c r="AH17" s="306"/>
      <c r="AI17" s="307" t="s">
        <v>49</v>
      </c>
      <c r="AJ17" s="307"/>
      <c r="AK17" s="92"/>
      <c r="AL17" s="308" t="s">
        <v>68</v>
      </c>
      <c r="AM17" s="309"/>
      <c r="AN17" s="310"/>
      <c r="AO17" s="288" t="s">
        <v>50</v>
      </c>
      <c r="AP17" s="289"/>
      <c r="AQ17" s="289"/>
      <c r="AR17" s="289"/>
      <c r="AS17" s="289"/>
      <c r="AT17" s="76" t="s">
        <v>51</v>
      </c>
      <c r="AU17" s="290" t="s">
        <v>33</v>
      </c>
      <c r="AV17" s="291"/>
      <c r="AW17" s="77" t="s">
        <v>34</v>
      </c>
      <c r="AX17" s="77" t="s">
        <v>66</v>
      </c>
      <c r="AY17" s="77" t="s">
        <v>35</v>
      </c>
      <c r="AZ17" s="77" t="s">
        <v>36</v>
      </c>
      <c r="BA17" s="292" t="s">
        <v>52</v>
      </c>
      <c r="BB17" s="293"/>
    </row>
    <row r="18" spans="18:62" ht="60.75" customHeight="1">
      <c r="S18" s="78">
        <v>1</v>
      </c>
      <c r="T18" s="294"/>
      <c r="U18" s="295"/>
      <c r="V18" s="280"/>
      <c r="W18" s="281"/>
      <c r="X18" s="79" t="str">
        <f>TEXT(MOD(V18-T18,1),"h:mm")</f>
        <v>0:00</v>
      </c>
      <c r="Y18" s="80"/>
      <c r="Z18" s="282"/>
      <c r="AA18" s="282"/>
      <c r="AB18" s="282"/>
      <c r="AC18" s="282"/>
      <c r="AD18" s="282"/>
      <c r="AE18" s="282"/>
      <c r="AF18" s="282"/>
      <c r="AG18" s="296">
        <f>SUM(AX7:AX9)</f>
        <v>0</v>
      </c>
      <c r="AH18" s="297"/>
      <c r="AI18" s="298">
        <f>SUM(AX10:AX12)</f>
        <v>0</v>
      </c>
      <c r="AJ18" s="298"/>
      <c r="AK18" s="93"/>
      <c r="AL18" s="298">
        <f>SUM(AX13:AX15)</f>
        <v>0</v>
      </c>
      <c r="AM18" s="298"/>
      <c r="AN18" s="298"/>
      <c r="AO18" s="299">
        <f>SUM(AG18:AN18)</f>
        <v>0</v>
      </c>
      <c r="AP18" s="299"/>
      <c r="AQ18" s="299"/>
      <c r="AR18" s="299"/>
      <c r="AS18" s="299"/>
      <c r="AT18" s="81" t="s">
        <v>1</v>
      </c>
      <c r="AU18" s="276">
        <f>SUM(AS7:AS9)</f>
        <v>0</v>
      </c>
      <c r="AV18" s="277"/>
      <c r="AW18" s="82">
        <f>SUM(AT7:AT9)</f>
        <v>0</v>
      </c>
      <c r="AX18" s="82">
        <f>SUM(AV7:AV9)</f>
        <v>0</v>
      </c>
      <c r="AY18" s="82">
        <f>SUM(AU7:AU9)</f>
        <v>0</v>
      </c>
      <c r="AZ18" s="82">
        <f>SUM(AW7:AW9)</f>
        <v>0</v>
      </c>
      <c r="BA18" s="276">
        <f>SUM(AU18:AZ18)</f>
        <v>0</v>
      </c>
      <c r="BB18" s="277"/>
    </row>
    <row r="19" spans="18:62" ht="60.75" customHeight="1">
      <c r="S19" s="78">
        <v>2</v>
      </c>
      <c r="T19" s="278"/>
      <c r="U19" s="279"/>
      <c r="V19" s="280"/>
      <c r="W19" s="281"/>
      <c r="X19" s="79" t="str">
        <f>TEXT(MOD(V19-T19,1),"h:mm")</f>
        <v>0:00</v>
      </c>
      <c r="Y19" s="80"/>
      <c r="Z19" s="282"/>
      <c r="AA19" s="282"/>
      <c r="AB19" s="282"/>
      <c r="AC19" s="282"/>
      <c r="AD19" s="282"/>
      <c r="AE19" s="282"/>
      <c r="AF19" s="282"/>
      <c r="AG19" s="283" t="s">
        <v>41</v>
      </c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5"/>
      <c r="AT19" s="83" t="s">
        <v>5</v>
      </c>
      <c r="AU19" s="286">
        <f>SUM(AS10:AS12)</f>
        <v>0</v>
      </c>
      <c r="AV19" s="287"/>
      <c r="AW19" s="84">
        <f>SUM(AT10:AT12)</f>
        <v>0</v>
      </c>
      <c r="AX19" s="84">
        <f>SUM(AV10:AV12)</f>
        <v>0</v>
      </c>
      <c r="AY19" s="84">
        <f>SUM(AU10:AU12)</f>
        <v>0</v>
      </c>
      <c r="AZ19" s="84">
        <f>SUM(AW10:AW12)</f>
        <v>0</v>
      </c>
      <c r="BA19" s="286">
        <f>SUM(AU19:AZ19)</f>
        <v>0</v>
      </c>
      <c r="BB19" s="287"/>
    </row>
    <row r="20" spans="18:62" ht="60.75" customHeight="1">
      <c r="S20" s="78">
        <v>3</v>
      </c>
      <c r="T20" s="278"/>
      <c r="U20" s="279"/>
      <c r="V20" s="280"/>
      <c r="W20" s="281"/>
      <c r="X20" s="79" t="str">
        <f>TEXT(MOD(V20-T20,1),"h:mm")</f>
        <v>0:00</v>
      </c>
      <c r="Y20" s="80"/>
      <c r="Z20" s="327"/>
      <c r="AA20" s="327"/>
      <c r="AB20" s="327"/>
      <c r="AC20" s="327"/>
      <c r="AD20" s="327"/>
      <c r="AE20" s="327"/>
      <c r="AF20" s="327"/>
      <c r="AG20" s="311">
        <f>SUM(BB7:BB9)</f>
        <v>0</v>
      </c>
      <c r="AH20" s="328"/>
      <c r="AI20" s="311">
        <f>SUM(BB10:BB12)</f>
        <v>0</v>
      </c>
      <c r="AJ20" s="328"/>
      <c r="AK20" s="94"/>
      <c r="AL20" s="311">
        <f>SUM(BB13:BB15)</f>
        <v>0</v>
      </c>
      <c r="AM20" s="329"/>
      <c r="AN20" s="328"/>
      <c r="AO20" s="311">
        <f>SUM(AG20:AN20)</f>
        <v>0</v>
      </c>
      <c r="AP20" s="312"/>
      <c r="AQ20" s="312"/>
      <c r="AR20" s="312"/>
      <c r="AS20" s="313"/>
      <c r="AT20" s="91" t="s">
        <v>65</v>
      </c>
      <c r="AU20" s="314">
        <f>SUM(AS13:AS15)</f>
        <v>0</v>
      </c>
      <c r="AV20" s="315"/>
      <c r="AW20" s="99">
        <f>SUM(AT13:AT15)</f>
        <v>0</v>
      </c>
      <c r="AX20" s="99">
        <f>SUM(AV13:AV15)</f>
        <v>0</v>
      </c>
      <c r="AY20" s="99">
        <f>SUM(AU13:AU15)</f>
        <v>0</v>
      </c>
      <c r="AZ20" s="99">
        <f>SUM(AW13:AW15)</f>
        <v>0</v>
      </c>
      <c r="BA20" s="316">
        <f>SUM(AU20:AZ20)</f>
        <v>0</v>
      </c>
      <c r="BB20" s="317"/>
    </row>
    <row r="21" spans="18:62" ht="60.75" customHeight="1">
      <c r="S21" s="78">
        <v>4</v>
      </c>
      <c r="T21" s="278"/>
      <c r="U21" s="279"/>
      <c r="V21" s="280"/>
      <c r="W21" s="281"/>
      <c r="X21" s="79" t="str">
        <f>TEXT(MOD(V21-T21,1),"h:mm")</f>
        <v>0:00</v>
      </c>
      <c r="Y21" s="80"/>
      <c r="Z21" s="318"/>
      <c r="AA21" s="318"/>
      <c r="AB21" s="318"/>
      <c r="AC21" s="318"/>
      <c r="AD21" s="318"/>
      <c r="AE21" s="318"/>
      <c r="AF21" s="318"/>
      <c r="AG21" s="319" t="s">
        <v>54</v>
      </c>
      <c r="AH21" s="320"/>
      <c r="AI21" s="320"/>
      <c r="AJ21" s="320"/>
      <c r="AK21" s="320"/>
      <c r="AL21" s="320"/>
      <c r="AM21" s="320"/>
      <c r="AN21" s="320"/>
      <c r="AO21" s="320"/>
      <c r="AP21" s="320"/>
      <c r="AQ21" s="320"/>
      <c r="AR21" s="320"/>
      <c r="AS21" s="321"/>
      <c r="AT21" s="322" t="s">
        <v>55</v>
      </c>
      <c r="AU21" s="323"/>
      <c r="AV21" s="324"/>
      <c r="AW21" s="325">
        <v>1680</v>
      </c>
      <c r="AX21" s="326"/>
      <c r="AY21" s="322" t="s">
        <v>56</v>
      </c>
      <c r="AZ21" s="324"/>
      <c r="BA21" s="330">
        <v>1628</v>
      </c>
      <c r="BB21" s="331"/>
    </row>
    <row r="22" spans="18:62" ht="54" customHeight="1">
      <c r="S22" s="78">
        <v>5</v>
      </c>
      <c r="T22" s="278"/>
      <c r="U22" s="279"/>
      <c r="V22" s="280"/>
      <c r="W22" s="281"/>
      <c r="X22" s="79" t="str">
        <f>TEXT(MOD(V22-T22,1),"h:mm")</f>
        <v>0:00</v>
      </c>
      <c r="Y22" s="80"/>
      <c r="Z22" s="318"/>
      <c r="AA22" s="318"/>
      <c r="AB22" s="318"/>
      <c r="AC22" s="318"/>
      <c r="AD22" s="318"/>
      <c r="AE22" s="318"/>
      <c r="AF22" s="318"/>
      <c r="AG22" s="357">
        <f>SUM(AY7:BA9)</f>
        <v>0</v>
      </c>
      <c r="AH22" s="357"/>
      <c r="AI22" s="298">
        <f>SUM(AY10:BA12)</f>
        <v>0</v>
      </c>
      <c r="AJ22" s="298"/>
      <c r="AK22" s="95"/>
      <c r="AL22" s="358">
        <f>SUM(AY13:BA15)</f>
        <v>0</v>
      </c>
      <c r="AM22" s="358"/>
      <c r="AN22" s="359"/>
      <c r="AO22" s="360">
        <f>SUM(AG22:AN22)</f>
        <v>0</v>
      </c>
      <c r="AP22" s="361"/>
      <c r="AQ22" s="361"/>
      <c r="AR22" s="361"/>
      <c r="AS22" s="362"/>
      <c r="AT22" s="98" t="s">
        <v>69</v>
      </c>
      <c r="AU22" s="363" t="s">
        <v>48</v>
      </c>
      <c r="AV22" s="364"/>
      <c r="AW22" s="365" t="s">
        <v>49</v>
      </c>
      <c r="AX22" s="366"/>
      <c r="AY22" s="332" t="s">
        <v>68</v>
      </c>
      <c r="AZ22" s="333"/>
      <c r="BA22" s="334" t="s">
        <v>57</v>
      </c>
      <c r="BB22" s="335"/>
    </row>
    <row r="23" spans="18:62" ht="59.25" customHeight="1">
      <c r="S23" s="336" t="s">
        <v>61</v>
      </c>
      <c r="T23" s="337"/>
      <c r="U23" s="337"/>
      <c r="V23" s="337"/>
      <c r="W23" s="338"/>
      <c r="X23" s="85">
        <f>SUM(X18+X19+X20+X21+X22)</f>
        <v>0</v>
      </c>
      <c r="Y23" s="136" t="s">
        <v>62</v>
      </c>
      <c r="Z23" s="86"/>
      <c r="AA23" s="87"/>
      <c r="AB23" s="87"/>
      <c r="AC23" s="339" t="s">
        <v>63</v>
      </c>
      <c r="AD23" s="339"/>
      <c r="AE23" s="340"/>
      <c r="AF23" s="341"/>
      <c r="AG23" s="342" t="s">
        <v>22</v>
      </c>
      <c r="AH23" s="343"/>
      <c r="AI23" s="344"/>
      <c r="AJ23" s="345" t="s">
        <v>48</v>
      </c>
      <c r="AK23" s="346"/>
      <c r="AL23" s="346"/>
      <c r="AM23" s="347"/>
      <c r="AN23" s="348" t="s">
        <v>49</v>
      </c>
      <c r="AO23" s="348"/>
      <c r="AP23" s="348"/>
      <c r="AQ23" s="349" t="s">
        <v>68</v>
      </c>
      <c r="AR23" s="350"/>
      <c r="AS23" s="351"/>
      <c r="AT23" s="96" t="s">
        <v>60</v>
      </c>
      <c r="AU23" s="352">
        <f>SUM(AQ7:AQ9)</f>
        <v>0</v>
      </c>
      <c r="AV23" s="353"/>
      <c r="AW23" s="352">
        <f>SUM(AQ10:AQ12)</f>
        <v>0</v>
      </c>
      <c r="AX23" s="354"/>
      <c r="AY23" s="352">
        <f>SUM(AQ13:AQ15)</f>
        <v>0</v>
      </c>
      <c r="AZ23" s="353"/>
      <c r="BA23" s="355">
        <f>SUM(AU23:AZ23)</f>
        <v>0</v>
      </c>
      <c r="BB23" s="356"/>
    </row>
    <row r="24" spans="18:62" ht="57" customHeight="1">
      <c r="S24" s="367"/>
      <c r="T24" s="368"/>
      <c r="U24" s="368"/>
      <c r="V24" s="368"/>
      <c r="W24" s="369"/>
      <c r="X24" s="373" t="s">
        <v>73</v>
      </c>
      <c r="Y24" s="104" t="s">
        <v>70</v>
      </c>
      <c r="Z24" s="105" t="s">
        <v>71</v>
      </c>
      <c r="AA24" s="103"/>
      <c r="AB24" s="103"/>
      <c r="AC24" s="375" t="s">
        <v>72</v>
      </c>
      <c r="AD24" s="376"/>
      <c r="AE24" s="377" t="s">
        <v>57</v>
      </c>
      <c r="AF24" s="378"/>
      <c r="AG24" s="379" t="s">
        <v>58</v>
      </c>
      <c r="AH24" s="380"/>
      <c r="AI24" s="381"/>
      <c r="AJ24" s="382">
        <f>AVERAGE(Z7:Z8)</f>
        <v>0</v>
      </c>
      <c r="AK24" s="383"/>
      <c r="AL24" s="383"/>
      <c r="AM24" s="383"/>
      <c r="AN24" s="382">
        <f>AVERAGE(Z10:Z12)</f>
        <v>0</v>
      </c>
      <c r="AO24" s="383"/>
      <c r="AP24" s="383"/>
      <c r="AQ24" s="382">
        <f>AVERAGE(Z13:Z15)</f>
        <v>0</v>
      </c>
      <c r="AR24" s="383"/>
      <c r="AS24" s="383"/>
      <c r="AT24" s="97" t="s">
        <v>64</v>
      </c>
      <c r="AU24" s="387">
        <f>SUM(AL7:AP9)</f>
        <v>0</v>
      </c>
      <c r="AV24" s="388"/>
      <c r="AW24" s="387">
        <f>SUM(AL10:AP12)</f>
        <v>0</v>
      </c>
      <c r="AX24" s="388"/>
      <c r="AY24" s="387">
        <f>SUM(AL13:AP15)</f>
        <v>0</v>
      </c>
      <c r="AZ24" s="388"/>
      <c r="BA24" s="389">
        <f>SUM(AU24:AZ24)</f>
        <v>0</v>
      </c>
      <c r="BB24" s="390"/>
    </row>
    <row r="25" spans="18:62" ht="52.5" customHeight="1">
      <c r="S25" s="370"/>
      <c r="T25" s="371"/>
      <c r="U25" s="371"/>
      <c r="V25" s="371"/>
      <c r="W25" s="372"/>
      <c r="X25" s="374"/>
      <c r="Y25" s="106">
        <f>SUM(AD7:AD9)</f>
        <v>0</v>
      </c>
      <c r="Z25" s="106">
        <f>SUM(AD10:AD12)</f>
        <v>0</v>
      </c>
      <c r="AA25" s="107"/>
      <c r="AB25" s="107"/>
      <c r="AC25" s="391">
        <f>SUM(AD13:AD15)</f>
        <v>0</v>
      </c>
      <c r="AD25" s="392"/>
      <c r="AE25" s="393">
        <f>SUM(Y25:AD25)</f>
        <v>0</v>
      </c>
      <c r="AF25" s="394"/>
      <c r="AG25" s="379" t="s">
        <v>59</v>
      </c>
      <c r="AH25" s="380"/>
      <c r="AI25" s="381"/>
      <c r="AJ25" s="382">
        <f>SUM(Z7:Z9)</f>
        <v>0</v>
      </c>
      <c r="AK25" s="383"/>
      <c r="AL25" s="383"/>
      <c r="AM25" s="383"/>
      <c r="AN25" s="382">
        <f>SUM(Z10:Z12)</f>
        <v>0</v>
      </c>
      <c r="AO25" s="383"/>
      <c r="AP25" s="383"/>
      <c r="AQ25" s="382">
        <f>SUM(Z13:Z15)</f>
        <v>0</v>
      </c>
      <c r="AR25" s="383"/>
      <c r="AS25" s="383"/>
      <c r="AT25" s="384"/>
      <c r="AU25" s="385"/>
      <c r="AV25" s="385"/>
      <c r="AW25" s="385"/>
      <c r="AX25" s="385"/>
      <c r="AY25" s="385"/>
      <c r="AZ25" s="385"/>
      <c r="BA25" s="385"/>
      <c r="BB25" s="386"/>
    </row>
    <row r="26" spans="18:62" ht="60.75" customHeight="1"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8:62" ht="30" customHeight="1"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8:62" ht="30" customHeight="1"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T28" s="4"/>
      <c r="AU28" s="4"/>
      <c r="AV28" s="4"/>
      <c r="AW28" s="4"/>
      <c r="AX28" s="4"/>
      <c r="AY28" s="4"/>
      <c r="AZ28" s="4"/>
      <c r="BA28" s="4"/>
    </row>
    <row r="29" spans="18:62" ht="30" customHeight="1"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T29" s="4"/>
      <c r="AU29" s="4"/>
      <c r="AV29" s="4"/>
      <c r="AW29" s="4"/>
      <c r="AX29" s="4"/>
      <c r="AY29" s="4"/>
      <c r="AZ29" s="4"/>
      <c r="BA29" s="4"/>
    </row>
    <row r="30" spans="18:62" ht="30" customHeight="1">
      <c r="R30" s="3"/>
      <c r="S30" s="3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T30" s="4"/>
      <c r="AU30" s="4"/>
      <c r="AV30" s="4"/>
      <c r="AW30" s="4"/>
      <c r="AX30" s="4"/>
      <c r="AY30" s="4"/>
      <c r="AZ30" s="4"/>
      <c r="BA30" s="4"/>
    </row>
    <row r="31" spans="18:62" ht="30" customHeight="1">
      <c r="R31" s="3"/>
      <c r="S31" s="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T31" s="4"/>
      <c r="AU31" s="4"/>
      <c r="AV31" s="4"/>
      <c r="AW31" s="4"/>
      <c r="AX31" s="4"/>
      <c r="AY31" s="4"/>
      <c r="AZ31" s="4"/>
      <c r="BA31" s="4"/>
    </row>
    <row r="32" spans="18:62" ht="15" customHeight="1">
      <c r="S32" s="3"/>
      <c r="BJ32" s="4">
        <v>8</v>
      </c>
    </row>
  </sheetData>
  <mergeCells count="145">
    <mergeCell ref="S24:W25"/>
    <mergeCell ref="X24:X25"/>
    <mergeCell ref="AC24:AD24"/>
    <mergeCell ref="AE24:AF24"/>
    <mergeCell ref="AG24:AI24"/>
    <mergeCell ref="AJ24:AM24"/>
    <mergeCell ref="AN24:AP24"/>
    <mergeCell ref="AQ25:AS25"/>
    <mergeCell ref="AT25:BB25"/>
    <mergeCell ref="AQ24:AS24"/>
    <mergeCell ref="AU24:AV24"/>
    <mergeCell ref="AW24:AX24"/>
    <mergeCell ref="AY24:AZ24"/>
    <mergeCell ref="BA24:BB24"/>
    <mergeCell ref="AC25:AD25"/>
    <mergeCell ref="AE25:AF25"/>
    <mergeCell ref="AG25:AI25"/>
    <mergeCell ref="AJ25:AM25"/>
    <mergeCell ref="AN25:AP25"/>
    <mergeCell ref="AY22:AZ22"/>
    <mergeCell ref="BA22:BB22"/>
    <mergeCell ref="S23:W23"/>
    <mergeCell ref="AC23:AD23"/>
    <mergeCell ref="AE23:AF23"/>
    <mergeCell ref="AG23:AI23"/>
    <mergeCell ref="AJ23:AM23"/>
    <mergeCell ref="AN23:AP23"/>
    <mergeCell ref="AQ23:AS23"/>
    <mergeCell ref="AU23:AV23"/>
    <mergeCell ref="AW23:AX23"/>
    <mergeCell ref="AY23:AZ23"/>
    <mergeCell ref="BA23:BB23"/>
    <mergeCell ref="T22:U22"/>
    <mergeCell ref="V22:W22"/>
    <mergeCell ref="Z22:AF22"/>
    <mergeCell ref="AG22:AH22"/>
    <mergeCell ref="AI22:AJ22"/>
    <mergeCell ref="AL22:AN22"/>
    <mergeCell ref="AO22:AS22"/>
    <mergeCell ref="AU22:AV22"/>
    <mergeCell ref="AW22:AX22"/>
    <mergeCell ref="AO20:AS20"/>
    <mergeCell ref="AU20:AV20"/>
    <mergeCell ref="BA20:BB20"/>
    <mergeCell ref="T21:U21"/>
    <mergeCell ref="V21:W21"/>
    <mergeCell ref="Z21:AF21"/>
    <mergeCell ref="AG21:AS21"/>
    <mergeCell ref="AT21:AV21"/>
    <mergeCell ref="AW21:AX21"/>
    <mergeCell ref="AY21:AZ21"/>
    <mergeCell ref="T20:U20"/>
    <mergeCell ref="V20:W20"/>
    <mergeCell ref="Z20:AF20"/>
    <mergeCell ref="AG20:AH20"/>
    <mergeCell ref="AI20:AJ20"/>
    <mergeCell ref="AL20:AN20"/>
    <mergeCell ref="BA21:BB21"/>
    <mergeCell ref="AU18:AV18"/>
    <mergeCell ref="BA18:BB18"/>
    <mergeCell ref="T19:U19"/>
    <mergeCell ref="V19:W19"/>
    <mergeCell ref="Z19:AF19"/>
    <mergeCell ref="AG19:AS19"/>
    <mergeCell ref="AU19:AV19"/>
    <mergeCell ref="BA19:BB19"/>
    <mergeCell ref="AO17:AS17"/>
    <mergeCell ref="AU17:AV17"/>
    <mergeCell ref="BA17:BB17"/>
    <mergeCell ref="T18:U18"/>
    <mergeCell ref="V18:W18"/>
    <mergeCell ref="Z18:AF18"/>
    <mergeCell ref="AG18:AH18"/>
    <mergeCell ref="AI18:AJ18"/>
    <mergeCell ref="AL18:AN18"/>
    <mergeCell ref="AO18:AS18"/>
    <mergeCell ref="T17:U17"/>
    <mergeCell ref="V17:W17"/>
    <mergeCell ref="Z17:AF17"/>
    <mergeCell ref="AG17:AH17"/>
    <mergeCell ref="AI17:AJ17"/>
    <mergeCell ref="AL17:AN17"/>
    <mergeCell ref="S16:AF16"/>
    <mergeCell ref="AG16:AS16"/>
    <mergeCell ref="AT16:BB16"/>
    <mergeCell ref="AU5:AU6"/>
    <mergeCell ref="AV5:AV6"/>
    <mergeCell ref="AW5:AW6"/>
    <mergeCell ref="AX5:AX6"/>
    <mergeCell ref="AY5:AY6"/>
    <mergeCell ref="AZ5:AZ6"/>
    <mergeCell ref="AH5:AH6"/>
    <mergeCell ref="AI5:AI6"/>
    <mergeCell ref="AJ5:AJ6"/>
    <mergeCell ref="AK5:AR5"/>
    <mergeCell ref="AS5:AS6"/>
    <mergeCell ref="AT5:AT6"/>
    <mergeCell ref="AB5:AB6"/>
    <mergeCell ref="AC5:AC6"/>
    <mergeCell ref="AD5:AD6"/>
    <mergeCell ref="AE5:AE6"/>
    <mergeCell ref="S4:Z4"/>
    <mergeCell ref="AA4:AB4"/>
    <mergeCell ref="AC4:AD4"/>
    <mergeCell ref="AE4:AJ4"/>
    <mergeCell ref="AL4:AQ4"/>
    <mergeCell ref="AS4:AW4"/>
    <mergeCell ref="T7:T9"/>
    <mergeCell ref="T10:T12"/>
    <mergeCell ref="T13:T15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Q1:AT1"/>
    <mergeCell ref="AU1:AW1"/>
    <mergeCell ref="AF5:AF6"/>
    <mergeCell ref="AG5:AG6"/>
    <mergeCell ref="AX1:BB3"/>
    <mergeCell ref="AC2:AE2"/>
    <mergeCell ref="AF2:AH2"/>
    <mergeCell ref="AI2:AL2"/>
    <mergeCell ref="AM2:AP2"/>
    <mergeCell ref="AQ2:AT2"/>
    <mergeCell ref="AU2:AW2"/>
    <mergeCell ref="AC3:AE3"/>
    <mergeCell ref="AQ3:AT3"/>
    <mergeCell ref="AU3:AW3"/>
    <mergeCell ref="AX4:BB4"/>
    <mergeCell ref="BA5:BA6"/>
    <mergeCell ref="BB5:BB6"/>
    <mergeCell ref="S1:W3"/>
    <mergeCell ref="X1:Y3"/>
    <mergeCell ref="AC1:AE1"/>
    <mergeCell ref="AF1:AH1"/>
    <mergeCell ref="AI1:AL1"/>
    <mergeCell ref="AM1:AP1"/>
    <mergeCell ref="AF3:AH3"/>
    <mergeCell ref="AI3:AL3"/>
    <mergeCell ref="AM3:AP3"/>
  </mergeCells>
  <conditionalFormatting sqref="Z7:Z15">
    <cfRule type="cellIs" dxfId="285" priority="3" operator="greaterThan">
      <formula>0.167361111111111</formula>
    </cfRule>
    <cfRule type="cellIs" dxfId="284" priority="4" operator="greaterThan">
      <formula>0.15625</formula>
    </cfRule>
  </conditionalFormatting>
  <conditionalFormatting sqref="AA7:AJ15">
    <cfRule type="cellIs" dxfId="283" priority="11" operator="between">
      <formula>1700</formula>
      <formula>1710</formula>
    </cfRule>
    <cfRule type="cellIs" dxfId="282" priority="12" operator="between">
      <formula>1691</formula>
      <formula>1700</formula>
    </cfRule>
  </conditionalFormatting>
  <conditionalFormatting sqref="AS7:AS15">
    <cfRule type="expression" dxfId="281" priority="13">
      <formula>IF(($AS7/$AX7)*1000&gt;$AY$1,1,0)</formula>
    </cfRule>
  </conditionalFormatting>
  <conditionalFormatting sqref="AT7:AW15">
    <cfRule type="cellIs" dxfId="280" priority="5" operator="greaterThan">
      <formula>10</formula>
    </cfRule>
  </conditionalFormatting>
  <conditionalFormatting sqref="AX7:AX15">
    <cfRule type="cellIs" dxfId="279" priority="2" operator="between">
      <formula>16000</formula>
      <formula>17200</formula>
    </cfRule>
    <cfRule type="cellIs" dxfId="278" priority="6" operator="lessThan">
      <formula>15800</formula>
    </cfRule>
    <cfRule type="cellIs" dxfId="277" priority="7" operator="greaterThan">
      <formula>18000</formula>
    </cfRule>
  </conditionalFormatting>
  <conditionalFormatting sqref="AZ7:BA15">
    <cfRule type="cellIs" dxfId="276" priority="10" operator="greaterThan">
      <formula>0</formula>
    </cfRule>
  </conditionalFormatting>
  <conditionalFormatting sqref="BB7:BB15">
    <cfRule type="cellIs" dxfId="275" priority="1" operator="between">
      <formula>16000</formula>
      <formula>17200</formula>
    </cfRule>
    <cfRule type="cellIs" dxfId="274" priority="8" operator="greaterThan">
      <formula>18000</formula>
    </cfRule>
    <cfRule type="cellIs" dxfId="273" priority="9" operator="lessThan">
      <formula>15800</formula>
    </cfRule>
  </conditionalFormatting>
  <printOptions horizontalCentered="1" verticalCentered="1"/>
  <pageMargins left="0" right="0" top="0" bottom="0.21" header="0" footer="0"/>
  <pageSetup paperSize="9" scale="42" orientation="landscape" cellComments="asDisplayed" r:id="rId1"/>
  <headerFooter differentFirst="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6D9ED-365D-40C2-856E-B41461CA622C}">
  <sheetPr>
    <tabColor theme="5"/>
    <pageSetUpPr fitToPage="1"/>
  </sheetPr>
  <dimension ref="R1:BJ32"/>
  <sheetViews>
    <sheetView showGridLines="0" rightToLeft="1" topLeftCell="N1" zoomScale="55" zoomScaleNormal="55" zoomScalePageLayoutView="40" workbookViewId="0">
      <selection activeCell="AF10" sqref="AF10"/>
    </sheetView>
  </sheetViews>
  <sheetFormatPr defaultColWidth="9.140625" defaultRowHeight="15"/>
  <cols>
    <col min="1" max="18" width="9.140625" style="4"/>
    <col min="19" max="19" width="5.7109375" style="4" customWidth="1"/>
    <col min="20" max="20" width="9.5703125" style="3" customWidth="1"/>
    <col min="21" max="21" width="10.7109375" style="3" customWidth="1"/>
    <col min="22" max="22" width="9.42578125" style="88" customWidth="1"/>
    <col min="23" max="23" width="8.85546875" style="88" customWidth="1"/>
    <col min="24" max="24" width="14.42578125" style="3" customWidth="1"/>
    <col min="25" max="25" width="14.7109375" style="3" customWidth="1"/>
    <col min="26" max="26" width="15.140625" style="88" customWidth="1"/>
    <col min="27" max="27" width="9.5703125" style="3" hidden="1" customWidth="1"/>
    <col min="28" max="28" width="10" style="3" hidden="1" customWidth="1"/>
    <col min="29" max="29" width="8.140625" style="3" customWidth="1"/>
    <col min="30" max="30" width="8.5703125" style="3" customWidth="1"/>
    <col min="31" max="31" width="12.42578125" style="3" customWidth="1"/>
    <col min="32" max="32" width="10.5703125" style="3" customWidth="1"/>
    <col min="33" max="33" width="9.5703125" style="3" customWidth="1"/>
    <col min="34" max="34" width="11.42578125" style="3" customWidth="1"/>
    <col min="35" max="35" width="9.42578125" style="3" customWidth="1"/>
    <col min="36" max="36" width="9.28515625" style="3" customWidth="1"/>
    <col min="37" max="37" width="6.7109375" style="3" hidden="1" customWidth="1"/>
    <col min="38" max="42" width="6.7109375" style="3" customWidth="1"/>
    <col min="43" max="43" width="8.140625" style="3" customWidth="1"/>
    <col min="44" max="44" width="6.7109375" style="3" hidden="1" customWidth="1"/>
    <col min="45" max="45" width="10.42578125" style="3" customWidth="1"/>
    <col min="46" max="46" width="8.7109375" style="3" customWidth="1"/>
    <col min="47" max="47" width="8.5703125" style="3" customWidth="1"/>
    <col min="48" max="48" width="8.7109375" style="3" customWidth="1"/>
    <col min="49" max="49" width="9.5703125" style="3" customWidth="1"/>
    <col min="50" max="50" width="12.42578125" style="88" customWidth="1"/>
    <col min="51" max="51" width="11.85546875" style="3" customWidth="1"/>
    <col min="52" max="52" width="11.5703125" style="3" customWidth="1"/>
    <col min="53" max="53" width="13.42578125" style="3" customWidth="1"/>
    <col min="54" max="54" width="13.5703125" style="4" customWidth="1"/>
    <col min="55" max="57" width="9.140625" style="4"/>
    <col min="58" max="58" width="25" style="4" customWidth="1"/>
    <col min="59" max="61" width="9.140625" style="4"/>
    <col min="62" max="62" width="23.5703125" style="4" customWidth="1"/>
    <col min="63" max="16384" width="9.140625" style="4"/>
  </cols>
  <sheetData>
    <row r="1" spans="19:54" ht="36.75" customHeight="1" thickBot="1">
      <c r="S1" s="180"/>
      <c r="T1" s="181"/>
      <c r="U1" s="181"/>
      <c r="V1" s="181"/>
      <c r="W1" s="181"/>
      <c r="X1" s="182" t="s">
        <v>0</v>
      </c>
      <c r="Y1" s="183"/>
      <c r="Z1" s="1" t="s">
        <v>1</v>
      </c>
      <c r="AA1" s="2"/>
      <c r="AC1" s="188" t="s">
        <v>2</v>
      </c>
      <c r="AD1" s="189"/>
      <c r="AE1" s="189"/>
      <c r="AF1" s="190" t="s">
        <v>75</v>
      </c>
      <c r="AG1" s="191"/>
      <c r="AH1" s="192"/>
      <c r="AI1" s="193" t="s">
        <v>3</v>
      </c>
      <c r="AJ1" s="194"/>
      <c r="AK1" s="194"/>
      <c r="AL1" s="195"/>
      <c r="AM1" s="196" t="s">
        <v>76</v>
      </c>
      <c r="AN1" s="197"/>
      <c r="AO1" s="197"/>
      <c r="AP1" s="198"/>
      <c r="AQ1" s="203" t="s">
        <v>4</v>
      </c>
      <c r="AR1" s="204"/>
      <c r="AS1" s="204"/>
      <c r="AT1" s="205"/>
      <c r="AU1" s="206" t="s">
        <v>74</v>
      </c>
      <c r="AV1" s="207"/>
      <c r="AW1" s="208"/>
      <c r="AX1" s="211" t="s">
        <v>113</v>
      </c>
      <c r="AY1" s="211"/>
      <c r="AZ1" s="211"/>
      <c r="BA1" s="211"/>
      <c r="BB1" s="211"/>
    </row>
    <row r="2" spans="19:54" ht="36.75" customHeight="1" thickBot="1">
      <c r="S2" s="180"/>
      <c r="T2" s="181"/>
      <c r="U2" s="181"/>
      <c r="V2" s="181"/>
      <c r="W2" s="181"/>
      <c r="X2" s="184"/>
      <c r="Y2" s="185"/>
      <c r="Z2" s="5" t="s">
        <v>5</v>
      </c>
      <c r="AA2" s="89"/>
      <c r="AC2" s="188" t="s">
        <v>2</v>
      </c>
      <c r="AD2" s="189"/>
      <c r="AE2" s="212"/>
      <c r="AF2" s="190" t="s">
        <v>78</v>
      </c>
      <c r="AG2" s="191"/>
      <c r="AH2" s="192"/>
      <c r="AI2" s="193" t="s">
        <v>3</v>
      </c>
      <c r="AJ2" s="194"/>
      <c r="AK2" s="194"/>
      <c r="AL2" s="195"/>
      <c r="AM2" s="202" t="s">
        <v>79</v>
      </c>
      <c r="AN2" s="202"/>
      <c r="AO2" s="202"/>
      <c r="AP2" s="202"/>
      <c r="AQ2" s="203" t="s">
        <v>4</v>
      </c>
      <c r="AR2" s="204"/>
      <c r="AS2" s="204"/>
      <c r="AT2" s="205"/>
      <c r="AU2" s="213" t="s">
        <v>77</v>
      </c>
      <c r="AV2" s="213"/>
      <c r="AW2" s="213"/>
      <c r="AX2" s="211"/>
      <c r="AY2" s="211"/>
      <c r="AZ2" s="211"/>
      <c r="BA2" s="211"/>
      <c r="BB2" s="211"/>
    </row>
    <row r="3" spans="19:54" ht="38.25" customHeight="1" thickBot="1">
      <c r="S3" s="181"/>
      <c r="T3" s="181"/>
      <c r="U3" s="181"/>
      <c r="V3" s="181"/>
      <c r="W3" s="181"/>
      <c r="X3" s="186"/>
      <c r="Y3" s="187"/>
      <c r="Z3" s="90" t="s">
        <v>65</v>
      </c>
      <c r="AA3" s="6"/>
      <c r="AC3" s="188" t="s">
        <v>6</v>
      </c>
      <c r="AD3" s="189"/>
      <c r="AE3" s="212"/>
      <c r="AF3" s="190" t="s">
        <v>81</v>
      </c>
      <c r="AG3" s="191"/>
      <c r="AH3" s="192"/>
      <c r="AI3" s="199" t="s">
        <v>7</v>
      </c>
      <c r="AJ3" s="200"/>
      <c r="AK3" s="200"/>
      <c r="AL3" s="201"/>
      <c r="AM3" s="202" t="s">
        <v>82</v>
      </c>
      <c r="AN3" s="202"/>
      <c r="AO3" s="202"/>
      <c r="AP3" s="202"/>
      <c r="AQ3" s="203" t="s">
        <v>4</v>
      </c>
      <c r="AR3" s="204"/>
      <c r="AS3" s="204"/>
      <c r="AT3" s="214"/>
      <c r="AU3" s="215" t="s">
        <v>80</v>
      </c>
      <c r="AV3" s="216"/>
      <c r="AW3" s="217"/>
      <c r="AX3" s="211"/>
      <c r="AY3" s="211"/>
      <c r="AZ3" s="211"/>
      <c r="BA3" s="211"/>
      <c r="BB3" s="211"/>
    </row>
    <row r="4" spans="19:54" ht="34.5" customHeight="1" thickBot="1">
      <c r="S4" s="225" t="s">
        <v>8</v>
      </c>
      <c r="T4" s="226"/>
      <c r="U4" s="226"/>
      <c r="V4" s="226"/>
      <c r="W4" s="226"/>
      <c r="X4" s="227"/>
      <c r="Y4" s="227"/>
      <c r="Z4" s="228"/>
      <c r="AA4" s="229" t="s">
        <v>9</v>
      </c>
      <c r="AB4" s="230"/>
      <c r="AC4" s="231" t="s">
        <v>10</v>
      </c>
      <c r="AD4" s="232"/>
      <c r="AE4" s="233" t="s">
        <v>11</v>
      </c>
      <c r="AF4" s="234"/>
      <c r="AG4" s="234"/>
      <c r="AH4" s="234"/>
      <c r="AI4" s="234"/>
      <c r="AJ4" s="235"/>
      <c r="AK4" s="7"/>
      <c r="AL4" s="236" t="s">
        <v>12</v>
      </c>
      <c r="AM4" s="237"/>
      <c r="AN4" s="237"/>
      <c r="AO4" s="237"/>
      <c r="AP4" s="237"/>
      <c r="AQ4" s="237"/>
      <c r="AR4" s="8"/>
      <c r="AS4" s="238" t="s">
        <v>13</v>
      </c>
      <c r="AT4" s="239"/>
      <c r="AU4" s="239"/>
      <c r="AV4" s="239"/>
      <c r="AW4" s="240"/>
      <c r="AX4" s="218" t="s">
        <v>14</v>
      </c>
      <c r="AY4" s="219"/>
      <c r="AZ4" s="219"/>
      <c r="BA4" s="219"/>
      <c r="BB4" s="220"/>
    </row>
    <row r="5" spans="19:54" ht="52.5" customHeight="1">
      <c r="S5" s="246" t="s">
        <v>15</v>
      </c>
      <c r="T5" s="248" t="s">
        <v>16</v>
      </c>
      <c r="U5" s="248" t="s">
        <v>17</v>
      </c>
      <c r="V5" s="248" t="s">
        <v>18</v>
      </c>
      <c r="W5" s="248" t="s">
        <v>19</v>
      </c>
      <c r="X5" s="248" t="s">
        <v>20</v>
      </c>
      <c r="Y5" s="248" t="s">
        <v>21</v>
      </c>
      <c r="Z5" s="250" t="s">
        <v>22</v>
      </c>
      <c r="AA5" s="252" t="s">
        <v>23</v>
      </c>
      <c r="AB5" s="270" t="s">
        <v>9</v>
      </c>
      <c r="AC5" s="272" t="s">
        <v>24</v>
      </c>
      <c r="AD5" s="272" t="s">
        <v>25</v>
      </c>
      <c r="AE5" s="274" t="s">
        <v>26</v>
      </c>
      <c r="AF5" s="209" t="s">
        <v>27</v>
      </c>
      <c r="AG5" s="209" t="s">
        <v>28</v>
      </c>
      <c r="AH5" s="263" t="s">
        <v>29</v>
      </c>
      <c r="AI5" s="263" t="s">
        <v>30</v>
      </c>
      <c r="AJ5" s="265" t="s">
        <v>31</v>
      </c>
      <c r="AK5" s="267" t="s">
        <v>32</v>
      </c>
      <c r="AL5" s="268"/>
      <c r="AM5" s="268"/>
      <c r="AN5" s="268"/>
      <c r="AO5" s="268"/>
      <c r="AP5" s="268"/>
      <c r="AQ5" s="268"/>
      <c r="AR5" s="269"/>
      <c r="AS5" s="259" t="s">
        <v>33</v>
      </c>
      <c r="AT5" s="259" t="s">
        <v>34</v>
      </c>
      <c r="AU5" s="259" t="s">
        <v>35</v>
      </c>
      <c r="AV5" s="259" t="s">
        <v>66</v>
      </c>
      <c r="AW5" s="261" t="s">
        <v>36</v>
      </c>
      <c r="AX5" s="252" t="s">
        <v>37</v>
      </c>
      <c r="AY5" s="221" t="s">
        <v>38</v>
      </c>
      <c r="AZ5" s="221" t="s">
        <v>39</v>
      </c>
      <c r="BA5" s="221" t="s">
        <v>40</v>
      </c>
      <c r="BB5" s="223" t="s">
        <v>41</v>
      </c>
    </row>
    <row r="6" spans="19:54" ht="27.95" customHeight="1" thickBot="1">
      <c r="S6" s="247"/>
      <c r="T6" s="249"/>
      <c r="U6" s="249"/>
      <c r="V6" s="249"/>
      <c r="W6" s="249"/>
      <c r="X6" s="249"/>
      <c r="Y6" s="249"/>
      <c r="Z6" s="251"/>
      <c r="AA6" s="253"/>
      <c r="AB6" s="271"/>
      <c r="AC6" s="273"/>
      <c r="AD6" s="273"/>
      <c r="AE6" s="275"/>
      <c r="AF6" s="210"/>
      <c r="AG6" s="210"/>
      <c r="AH6" s="264"/>
      <c r="AI6" s="264"/>
      <c r="AJ6" s="266"/>
      <c r="AK6" s="9">
        <v>1</v>
      </c>
      <c r="AL6" s="10">
        <v>2</v>
      </c>
      <c r="AM6" s="10">
        <v>3</v>
      </c>
      <c r="AN6" s="10">
        <v>4</v>
      </c>
      <c r="AO6" s="10">
        <v>5</v>
      </c>
      <c r="AP6" s="10">
        <v>6</v>
      </c>
      <c r="AQ6" s="10">
        <v>12</v>
      </c>
      <c r="AR6" s="11"/>
      <c r="AS6" s="260"/>
      <c r="AT6" s="260"/>
      <c r="AU6" s="260"/>
      <c r="AV6" s="260"/>
      <c r="AW6" s="262"/>
      <c r="AX6" s="253"/>
      <c r="AY6" s="222"/>
      <c r="AZ6" s="222"/>
      <c r="BA6" s="222"/>
      <c r="BB6" s="224"/>
    </row>
    <row r="7" spans="19:54" s="34" customFormat="1" ht="48" customHeight="1" thickBot="1">
      <c r="S7" s="12">
        <v>1</v>
      </c>
      <c r="T7" s="241" t="s">
        <v>1</v>
      </c>
      <c r="U7" s="13"/>
      <c r="V7" s="14"/>
      <c r="W7" s="15"/>
      <c r="X7" s="16"/>
      <c r="Y7" s="17"/>
      <c r="Z7" s="18">
        <f t="shared" ref="Z7:Z15" si="0">IF(Y7&lt;X7,1+Y7-X7,Y7-X7)</f>
        <v>0</v>
      </c>
      <c r="AA7" s="19"/>
      <c r="AB7" s="20"/>
      <c r="AC7" s="21"/>
      <c r="AD7" s="100"/>
      <c r="AE7" s="22"/>
      <c r="AF7" s="23"/>
      <c r="AG7" s="23"/>
      <c r="AH7" s="23"/>
      <c r="AI7" s="23"/>
      <c r="AJ7" s="24"/>
      <c r="AK7" s="25"/>
      <c r="AL7" s="26"/>
      <c r="AM7" s="26"/>
      <c r="AN7" s="26"/>
      <c r="AO7" s="26"/>
      <c r="AP7" s="26"/>
      <c r="AQ7" s="26"/>
      <c r="AR7" s="27"/>
      <c r="AS7" s="28"/>
      <c r="AT7" s="13"/>
      <c r="AU7" s="13"/>
      <c r="AV7" s="13"/>
      <c r="AW7" s="29"/>
      <c r="AX7" s="30">
        <f t="shared" ref="AX7:AX15" si="1">SUM(AY7:BB7)</f>
        <v>0</v>
      </c>
      <c r="AY7" s="31">
        <v>0</v>
      </c>
      <c r="AZ7" s="32">
        <v>0</v>
      </c>
      <c r="BA7" s="31">
        <v>0</v>
      </c>
      <c r="BB7" s="33">
        <f t="shared" ref="BB7:BB15" si="2">SUM(($AQ$6*AQ7+$AP$6*AP7+$AN$6*AN7+$AM$6*$AM7+$AL$6*AL7+$AK$6*AK7+$AO$6*AO7+$AR$6*AR7)*175)</f>
        <v>0</v>
      </c>
    </row>
    <row r="8" spans="19:54" s="34" customFormat="1" ht="48" customHeight="1" thickBot="1">
      <c r="S8" s="12">
        <v>2</v>
      </c>
      <c r="T8" s="242"/>
      <c r="U8" s="35"/>
      <c r="V8" s="133"/>
      <c r="W8" s="133"/>
      <c r="X8" s="36"/>
      <c r="Y8" s="36"/>
      <c r="Z8" s="37">
        <f t="shared" si="0"/>
        <v>0</v>
      </c>
      <c r="AA8" s="38"/>
      <c r="AB8" s="39"/>
      <c r="AC8" s="40"/>
      <c r="AD8" s="101"/>
      <c r="AE8" s="41"/>
      <c r="AF8" s="42"/>
      <c r="AG8" s="42"/>
      <c r="AH8" s="42"/>
      <c r="AI8" s="42"/>
      <c r="AJ8" s="43"/>
      <c r="AK8" s="44"/>
      <c r="AL8" s="45"/>
      <c r="AM8" s="45"/>
      <c r="AN8" s="45"/>
      <c r="AO8" s="45"/>
      <c r="AP8" s="45"/>
      <c r="AQ8" s="45"/>
      <c r="AR8" s="46"/>
      <c r="AS8" s="47"/>
      <c r="AT8" s="35"/>
      <c r="AU8" s="35"/>
      <c r="AV8" s="35"/>
      <c r="AW8" s="48"/>
      <c r="AX8" s="49">
        <f t="shared" si="1"/>
        <v>0</v>
      </c>
      <c r="AY8" s="50">
        <v>0</v>
      </c>
      <c r="AZ8" s="51">
        <v>0</v>
      </c>
      <c r="BA8" s="52">
        <v>0</v>
      </c>
      <c r="BB8" s="53">
        <f t="shared" si="2"/>
        <v>0</v>
      </c>
    </row>
    <row r="9" spans="19:54" s="34" customFormat="1" ht="48" customHeight="1" thickBot="1">
      <c r="S9" s="12">
        <v>3</v>
      </c>
      <c r="T9" s="242"/>
      <c r="U9" s="35"/>
      <c r="V9" s="133"/>
      <c r="W9" s="133"/>
      <c r="X9" s="36"/>
      <c r="Y9" s="36"/>
      <c r="Z9" s="37">
        <f t="shared" si="0"/>
        <v>0</v>
      </c>
      <c r="AA9" s="38"/>
      <c r="AB9" s="39"/>
      <c r="AC9" s="40"/>
      <c r="AD9" s="101"/>
      <c r="AE9" s="41"/>
      <c r="AF9" s="42"/>
      <c r="AG9" s="42"/>
      <c r="AH9" s="42"/>
      <c r="AI9" s="42"/>
      <c r="AJ9" s="43"/>
      <c r="AK9" s="44"/>
      <c r="AL9" s="45"/>
      <c r="AM9" s="45"/>
      <c r="AN9" s="45"/>
      <c r="AO9" s="45"/>
      <c r="AP9" s="45"/>
      <c r="AQ9" s="45"/>
      <c r="AR9" s="46"/>
      <c r="AS9" s="47"/>
      <c r="AT9" s="35"/>
      <c r="AU9" s="35"/>
      <c r="AV9" s="35"/>
      <c r="AW9" s="48"/>
      <c r="AX9" s="49">
        <f t="shared" si="1"/>
        <v>0</v>
      </c>
      <c r="AY9" s="51">
        <v>0</v>
      </c>
      <c r="AZ9" s="52">
        <v>0</v>
      </c>
      <c r="BA9" s="51">
        <v>0</v>
      </c>
      <c r="BB9" s="53">
        <f t="shared" si="2"/>
        <v>0</v>
      </c>
    </row>
    <row r="10" spans="19:54" s="34" customFormat="1" ht="48" customHeight="1" thickBot="1">
      <c r="S10" s="12">
        <v>4</v>
      </c>
      <c r="T10" s="243" t="s">
        <v>5</v>
      </c>
      <c r="U10" s="35"/>
      <c r="V10" s="133"/>
      <c r="W10" s="133"/>
      <c r="X10" s="36"/>
      <c r="Y10" s="36"/>
      <c r="Z10" s="37">
        <f t="shared" si="0"/>
        <v>0</v>
      </c>
      <c r="AA10" s="38"/>
      <c r="AB10" s="39"/>
      <c r="AC10" s="40"/>
      <c r="AD10" s="101"/>
      <c r="AE10" s="41"/>
      <c r="AF10" s="42"/>
      <c r="AG10" s="42"/>
      <c r="AH10" s="42"/>
      <c r="AI10" s="42"/>
      <c r="AJ10" s="43"/>
      <c r="AK10" s="44"/>
      <c r="AL10" s="45"/>
      <c r="AM10" s="45"/>
      <c r="AN10" s="45"/>
      <c r="AO10" s="45"/>
      <c r="AP10" s="45"/>
      <c r="AQ10" s="45"/>
      <c r="AR10" s="46"/>
      <c r="AS10" s="47"/>
      <c r="AT10" s="35"/>
      <c r="AU10" s="35"/>
      <c r="AV10" s="35"/>
      <c r="AW10" s="48"/>
      <c r="AX10" s="49">
        <f t="shared" si="1"/>
        <v>0</v>
      </c>
      <c r="AY10" s="51">
        <v>0</v>
      </c>
      <c r="AZ10" s="52">
        <v>0</v>
      </c>
      <c r="BA10" s="51">
        <v>0</v>
      </c>
      <c r="BB10" s="53">
        <f t="shared" si="2"/>
        <v>0</v>
      </c>
    </row>
    <row r="11" spans="19:54" s="34" customFormat="1" ht="48" customHeight="1" thickBot="1">
      <c r="S11" s="12">
        <v>5</v>
      </c>
      <c r="T11" s="243"/>
      <c r="U11" s="35"/>
      <c r="V11" s="133"/>
      <c r="W11" s="133"/>
      <c r="X11" s="36"/>
      <c r="Y11" s="120"/>
      <c r="Z11" s="37">
        <f t="shared" si="0"/>
        <v>0</v>
      </c>
      <c r="AA11" s="38"/>
      <c r="AB11" s="39"/>
      <c r="AC11" s="40"/>
      <c r="AD11" s="101"/>
      <c r="AE11" s="41"/>
      <c r="AF11" s="42"/>
      <c r="AG11" s="42"/>
      <c r="AH11" s="42"/>
      <c r="AI11" s="42"/>
      <c r="AJ11" s="43"/>
      <c r="AK11" s="44"/>
      <c r="AL11" s="45"/>
      <c r="AM11" s="45"/>
      <c r="AN11" s="45"/>
      <c r="AO11" s="45"/>
      <c r="AP11" s="45"/>
      <c r="AQ11" s="45"/>
      <c r="AR11" s="46"/>
      <c r="AS11" s="47"/>
      <c r="AT11" s="35"/>
      <c r="AU11" s="35"/>
      <c r="AV11" s="35"/>
      <c r="AW11" s="48"/>
      <c r="AX11" s="49">
        <f t="shared" si="1"/>
        <v>0</v>
      </c>
      <c r="AY11" s="50">
        <v>0</v>
      </c>
      <c r="AZ11" s="51">
        <v>0</v>
      </c>
      <c r="BA11" s="52">
        <v>0</v>
      </c>
      <c r="BB11" s="53">
        <f t="shared" si="2"/>
        <v>0</v>
      </c>
    </row>
    <row r="12" spans="19:54" s="34" customFormat="1" ht="48" customHeight="1" thickBot="1">
      <c r="S12" s="12">
        <v>10</v>
      </c>
      <c r="T12" s="243"/>
      <c r="U12" s="13"/>
      <c r="V12" s="14"/>
      <c r="W12" s="14"/>
      <c r="X12" s="54"/>
      <c r="Y12" s="54"/>
      <c r="Z12" s="55">
        <f t="shared" si="0"/>
        <v>0</v>
      </c>
      <c r="AA12" s="19"/>
      <c r="AB12" s="20"/>
      <c r="AC12" s="21"/>
      <c r="AD12" s="100"/>
      <c r="AE12" s="22"/>
      <c r="AF12" s="23"/>
      <c r="AG12" s="23"/>
      <c r="AH12" s="23"/>
      <c r="AI12" s="23"/>
      <c r="AJ12" s="24"/>
      <c r="AK12" s="25"/>
      <c r="AL12" s="26"/>
      <c r="AM12" s="26"/>
      <c r="AN12" s="26"/>
      <c r="AO12" s="26"/>
      <c r="AP12" s="26"/>
      <c r="AQ12" s="26"/>
      <c r="AR12" s="27"/>
      <c r="AS12" s="28"/>
      <c r="AT12" s="13"/>
      <c r="AU12" s="13"/>
      <c r="AV12" s="13"/>
      <c r="AW12" s="29"/>
      <c r="AX12" s="30">
        <f t="shared" si="1"/>
        <v>0</v>
      </c>
      <c r="AY12" s="31">
        <v>0</v>
      </c>
      <c r="AZ12" s="32">
        <v>0</v>
      </c>
      <c r="BA12" s="31">
        <v>0</v>
      </c>
      <c r="BB12" s="56">
        <f t="shared" si="2"/>
        <v>0</v>
      </c>
    </row>
    <row r="13" spans="19:54" s="34" customFormat="1" ht="48" customHeight="1" thickBot="1">
      <c r="S13" s="12">
        <v>11</v>
      </c>
      <c r="T13" s="244" t="s">
        <v>65</v>
      </c>
      <c r="U13" s="35"/>
      <c r="V13" s="133"/>
      <c r="W13" s="133"/>
      <c r="X13" s="36"/>
      <c r="Y13" s="36"/>
      <c r="Z13" s="37">
        <f t="shared" si="0"/>
        <v>0</v>
      </c>
      <c r="AA13" s="38"/>
      <c r="AB13" s="39"/>
      <c r="AC13" s="40"/>
      <c r="AD13" s="101"/>
      <c r="AE13" s="41"/>
      <c r="AF13" s="42"/>
      <c r="AG13" s="42"/>
      <c r="AH13" s="42"/>
      <c r="AI13" s="42"/>
      <c r="AJ13" s="43"/>
      <c r="AK13" s="44"/>
      <c r="AL13" s="45"/>
      <c r="AM13" s="45"/>
      <c r="AN13" s="45"/>
      <c r="AO13" s="45"/>
      <c r="AP13" s="45"/>
      <c r="AQ13" s="45"/>
      <c r="AR13" s="46"/>
      <c r="AS13" s="47"/>
      <c r="AT13" s="35"/>
      <c r="AU13" s="35"/>
      <c r="AV13" s="35"/>
      <c r="AW13" s="48"/>
      <c r="AX13" s="49">
        <f t="shared" si="1"/>
        <v>0</v>
      </c>
      <c r="AY13" s="50">
        <v>0</v>
      </c>
      <c r="AZ13" s="51">
        <v>0</v>
      </c>
      <c r="BA13" s="52">
        <v>0</v>
      </c>
      <c r="BB13" s="57">
        <f t="shared" si="2"/>
        <v>0</v>
      </c>
    </row>
    <row r="14" spans="19:54" s="34" customFormat="1" ht="48" customHeight="1" thickBot="1">
      <c r="S14" s="12">
        <v>12</v>
      </c>
      <c r="T14" s="244"/>
      <c r="U14" s="35"/>
      <c r="V14" s="133"/>
      <c r="W14" s="133"/>
      <c r="X14" s="36"/>
      <c r="Y14" s="36"/>
      <c r="Z14" s="37">
        <f t="shared" si="0"/>
        <v>0</v>
      </c>
      <c r="AA14" s="38"/>
      <c r="AB14" s="39"/>
      <c r="AC14" s="40"/>
      <c r="AD14" s="101"/>
      <c r="AE14" s="41"/>
      <c r="AF14" s="42"/>
      <c r="AG14" s="42"/>
      <c r="AH14" s="42"/>
      <c r="AI14" s="42"/>
      <c r="AJ14" s="43"/>
      <c r="AK14" s="44"/>
      <c r="AL14" s="45"/>
      <c r="AM14" s="45"/>
      <c r="AN14" s="45"/>
      <c r="AO14" s="45"/>
      <c r="AP14" s="45"/>
      <c r="AQ14" s="45"/>
      <c r="AR14" s="46"/>
      <c r="AS14" s="47"/>
      <c r="AT14" s="35"/>
      <c r="AU14" s="35"/>
      <c r="AV14" s="35"/>
      <c r="AW14" s="48"/>
      <c r="AX14" s="49">
        <f t="shared" si="1"/>
        <v>0</v>
      </c>
      <c r="AY14" s="51">
        <v>0</v>
      </c>
      <c r="AZ14" s="52">
        <v>0</v>
      </c>
      <c r="BA14" s="51">
        <v>0</v>
      </c>
      <c r="BB14" s="57">
        <f t="shared" si="2"/>
        <v>0</v>
      </c>
    </row>
    <row r="15" spans="19:54" s="34" customFormat="1" ht="48" customHeight="1" thickBot="1">
      <c r="S15" s="12">
        <v>13</v>
      </c>
      <c r="T15" s="245"/>
      <c r="U15" s="58"/>
      <c r="V15" s="59"/>
      <c r="W15" s="59"/>
      <c r="X15" s="60"/>
      <c r="Y15" s="60"/>
      <c r="Z15" s="61">
        <f t="shared" si="0"/>
        <v>0</v>
      </c>
      <c r="AA15" s="62"/>
      <c r="AB15" s="63"/>
      <c r="AC15" s="64"/>
      <c r="AD15" s="102"/>
      <c r="AE15" s="65"/>
      <c r="AF15" s="66"/>
      <c r="AG15" s="67"/>
      <c r="AH15" s="67"/>
      <c r="AI15" s="67"/>
      <c r="AJ15" s="66"/>
      <c r="AK15" s="68"/>
      <c r="AL15" s="69"/>
      <c r="AM15" s="69"/>
      <c r="AN15" s="69"/>
      <c r="AO15" s="69"/>
      <c r="AP15" s="69"/>
      <c r="AQ15" s="69"/>
      <c r="AR15" s="70"/>
      <c r="AS15" s="71"/>
      <c r="AT15" s="35"/>
      <c r="AU15" s="35"/>
      <c r="AV15" s="35"/>
      <c r="AW15" s="48"/>
      <c r="AX15" s="49">
        <f t="shared" si="1"/>
        <v>0</v>
      </c>
      <c r="AY15" s="50">
        <v>0</v>
      </c>
      <c r="AZ15" s="51">
        <v>0</v>
      </c>
      <c r="BA15" s="52">
        <v>0</v>
      </c>
      <c r="BB15" s="57">
        <f t="shared" si="2"/>
        <v>0</v>
      </c>
    </row>
    <row r="16" spans="19:54" s="72" customFormat="1" ht="50.1" customHeight="1">
      <c r="S16" s="254" t="s">
        <v>42</v>
      </c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5" t="s">
        <v>53</v>
      </c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6" t="s">
        <v>43</v>
      </c>
      <c r="AU16" s="257"/>
      <c r="AV16" s="257"/>
      <c r="AW16" s="257"/>
      <c r="AX16" s="257"/>
      <c r="AY16" s="257"/>
      <c r="AZ16" s="257"/>
      <c r="BA16" s="257"/>
      <c r="BB16" s="258"/>
    </row>
    <row r="17" spans="18:62" s="72" customFormat="1" ht="60" customHeight="1">
      <c r="S17" s="73" t="s">
        <v>15</v>
      </c>
      <c r="T17" s="300" t="s">
        <v>44</v>
      </c>
      <c r="U17" s="301"/>
      <c r="V17" s="302" t="s">
        <v>45</v>
      </c>
      <c r="W17" s="303"/>
      <c r="X17" s="74" t="s">
        <v>46</v>
      </c>
      <c r="Y17" s="75" t="s">
        <v>67</v>
      </c>
      <c r="Z17" s="304" t="s">
        <v>47</v>
      </c>
      <c r="AA17" s="304"/>
      <c r="AB17" s="304"/>
      <c r="AC17" s="304"/>
      <c r="AD17" s="304"/>
      <c r="AE17" s="304"/>
      <c r="AF17" s="304"/>
      <c r="AG17" s="305" t="s">
        <v>48</v>
      </c>
      <c r="AH17" s="306"/>
      <c r="AI17" s="307" t="s">
        <v>49</v>
      </c>
      <c r="AJ17" s="307"/>
      <c r="AK17" s="92"/>
      <c r="AL17" s="308" t="s">
        <v>68</v>
      </c>
      <c r="AM17" s="309"/>
      <c r="AN17" s="310"/>
      <c r="AO17" s="288" t="s">
        <v>50</v>
      </c>
      <c r="AP17" s="289"/>
      <c r="AQ17" s="289"/>
      <c r="AR17" s="289"/>
      <c r="AS17" s="289"/>
      <c r="AT17" s="76" t="s">
        <v>51</v>
      </c>
      <c r="AU17" s="290" t="s">
        <v>33</v>
      </c>
      <c r="AV17" s="291"/>
      <c r="AW17" s="77" t="s">
        <v>34</v>
      </c>
      <c r="AX17" s="77" t="s">
        <v>66</v>
      </c>
      <c r="AY17" s="77" t="s">
        <v>35</v>
      </c>
      <c r="AZ17" s="77" t="s">
        <v>36</v>
      </c>
      <c r="BA17" s="292" t="s">
        <v>52</v>
      </c>
      <c r="BB17" s="293"/>
    </row>
    <row r="18" spans="18:62" ht="60.75" customHeight="1">
      <c r="S18" s="78">
        <v>1</v>
      </c>
      <c r="T18" s="294"/>
      <c r="U18" s="295"/>
      <c r="V18" s="280"/>
      <c r="W18" s="281"/>
      <c r="X18" s="79" t="str">
        <f>TEXT(MOD(V18-T18,1),"h:mm")</f>
        <v>0:00</v>
      </c>
      <c r="Y18" s="80"/>
      <c r="Z18" s="282"/>
      <c r="AA18" s="282"/>
      <c r="AB18" s="282"/>
      <c r="AC18" s="282"/>
      <c r="AD18" s="282"/>
      <c r="AE18" s="282"/>
      <c r="AF18" s="282"/>
      <c r="AG18" s="296">
        <f>SUM(AX7:AX9)</f>
        <v>0</v>
      </c>
      <c r="AH18" s="297"/>
      <c r="AI18" s="298">
        <f>SUM(AX10:AX12)</f>
        <v>0</v>
      </c>
      <c r="AJ18" s="298"/>
      <c r="AK18" s="93"/>
      <c r="AL18" s="298">
        <f>SUM(AX13:AX15)</f>
        <v>0</v>
      </c>
      <c r="AM18" s="298"/>
      <c r="AN18" s="298"/>
      <c r="AO18" s="299">
        <f>SUM(AG18:AN18)</f>
        <v>0</v>
      </c>
      <c r="AP18" s="299"/>
      <c r="AQ18" s="299"/>
      <c r="AR18" s="299"/>
      <c r="AS18" s="299"/>
      <c r="AT18" s="81" t="s">
        <v>1</v>
      </c>
      <c r="AU18" s="276">
        <f>SUM(AS7:AS9)</f>
        <v>0</v>
      </c>
      <c r="AV18" s="277"/>
      <c r="AW18" s="82">
        <f>SUM(AT7:AT9)</f>
        <v>0</v>
      </c>
      <c r="AX18" s="82">
        <f>SUM(AV7:AV9)</f>
        <v>0</v>
      </c>
      <c r="AY18" s="82">
        <f>SUM(AU7:AU9)</f>
        <v>0</v>
      </c>
      <c r="AZ18" s="82">
        <f>SUM(AW7:AW9)</f>
        <v>0</v>
      </c>
      <c r="BA18" s="276">
        <f>SUM(AU18:AZ18)</f>
        <v>0</v>
      </c>
      <c r="BB18" s="277"/>
    </row>
    <row r="19" spans="18:62" ht="60.75" customHeight="1">
      <c r="S19" s="78">
        <v>2</v>
      </c>
      <c r="T19" s="278"/>
      <c r="U19" s="279"/>
      <c r="V19" s="280"/>
      <c r="W19" s="281"/>
      <c r="X19" s="79" t="str">
        <f>TEXT(MOD(V19-T19,1),"h:mm")</f>
        <v>0:00</v>
      </c>
      <c r="Y19" s="80"/>
      <c r="Z19" s="282"/>
      <c r="AA19" s="282"/>
      <c r="AB19" s="282"/>
      <c r="AC19" s="282"/>
      <c r="AD19" s="282"/>
      <c r="AE19" s="282"/>
      <c r="AF19" s="282"/>
      <c r="AG19" s="283" t="s">
        <v>41</v>
      </c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5"/>
      <c r="AT19" s="83" t="s">
        <v>5</v>
      </c>
      <c r="AU19" s="286">
        <f>SUM(AS10:AS12)</f>
        <v>0</v>
      </c>
      <c r="AV19" s="287"/>
      <c r="AW19" s="84">
        <f>SUM(AT10:AT12)</f>
        <v>0</v>
      </c>
      <c r="AX19" s="84">
        <f>SUM(AV10:AV12)</f>
        <v>0</v>
      </c>
      <c r="AY19" s="84">
        <f>SUM(AU10:AU12)</f>
        <v>0</v>
      </c>
      <c r="AZ19" s="84">
        <f>SUM(AW10:AW12)</f>
        <v>0</v>
      </c>
      <c r="BA19" s="286">
        <f>SUM(AU19:AZ19)</f>
        <v>0</v>
      </c>
      <c r="BB19" s="287"/>
    </row>
    <row r="20" spans="18:62" ht="60.75" customHeight="1">
      <c r="S20" s="78">
        <v>3</v>
      </c>
      <c r="T20" s="278"/>
      <c r="U20" s="279"/>
      <c r="V20" s="280"/>
      <c r="W20" s="281"/>
      <c r="X20" s="79" t="str">
        <f>TEXT(MOD(V20-T20,1),"h:mm")</f>
        <v>0:00</v>
      </c>
      <c r="Y20" s="80"/>
      <c r="Z20" s="327"/>
      <c r="AA20" s="327"/>
      <c r="AB20" s="327"/>
      <c r="AC20" s="327"/>
      <c r="AD20" s="327"/>
      <c r="AE20" s="327"/>
      <c r="AF20" s="327"/>
      <c r="AG20" s="311">
        <f>SUM(BB7:BB9)</f>
        <v>0</v>
      </c>
      <c r="AH20" s="328"/>
      <c r="AI20" s="311">
        <f>SUM(BB10:BB12)</f>
        <v>0</v>
      </c>
      <c r="AJ20" s="328"/>
      <c r="AK20" s="94"/>
      <c r="AL20" s="311">
        <f>SUM(BB13:BB15)</f>
        <v>0</v>
      </c>
      <c r="AM20" s="329"/>
      <c r="AN20" s="328"/>
      <c r="AO20" s="311">
        <f>SUM(AG20:AN20)</f>
        <v>0</v>
      </c>
      <c r="AP20" s="312"/>
      <c r="AQ20" s="312"/>
      <c r="AR20" s="312"/>
      <c r="AS20" s="313"/>
      <c r="AT20" s="91" t="s">
        <v>65</v>
      </c>
      <c r="AU20" s="314">
        <f>SUM(AS13:AS15)</f>
        <v>0</v>
      </c>
      <c r="AV20" s="315"/>
      <c r="AW20" s="99">
        <f>SUM(AT13:AT15)</f>
        <v>0</v>
      </c>
      <c r="AX20" s="99">
        <f>SUM(AV13:AV15)</f>
        <v>0</v>
      </c>
      <c r="AY20" s="99">
        <f>SUM(AU13:AU15)</f>
        <v>0</v>
      </c>
      <c r="AZ20" s="99">
        <f>SUM(AW13:AW15)</f>
        <v>0</v>
      </c>
      <c r="BA20" s="316">
        <f>SUM(AU20:AZ20)</f>
        <v>0</v>
      </c>
      <c r="BB20" s="317"/>
    </row>
    <row r="21" spans="18:62" ht="60.75" customHeight="1">
      <c r="S21" s="78">
        <v>4</v>
      </c>
      <c r="T21" s="278"/>
      <c r="U21" s="279"/>
      <c r="V21" s="280"/>
      <c r="W21" s="281"/>
      <c r="X21" s="79" t="str">
        <f>TEXT(MOD(V21-T21,1),"h:mm")</f>
        <v>0:00</v>
      </c>
      <c r="Y21" s="80"/>
      <c r="Z21" s="318"/>
      <c r="AA21" s="318"/>
      <c r="AB21" s="318"/>
      <c r="AC21" s="318"/>
      <c r="AD21" s="318"/>
      <c r="AE21" s="318"/>
      <c r="AF21" s="318"/>
      <c r="AG21" s="319" t="s">
        <v>54</v>
      </c>
      <c r="AH21" s="320"/>
      <c r="AI21" s="320"/>
      <c r="AJ21" s="320"/>
      <c r="AK21" s="320"/>
      <c r="AL21" s="320"/>
      <c r="AM21" s="320"/>
      <c r="AN21" s="320"/>
      <c r="AO21" s="320"/>
      <c r="AP21" s="320"/>
      <c r="AQ21" s="320"/>
      <c r="AR21" s="320"/>
      <c r="AS21" s="321"/>
      <c r="AT21" s="322" t="s">
        <v>55</v>
      </c>
      <c r="AU21" s="323"/>
      <c r="AV21" s="324"/>
      <c r="AW21" s="325">
        <v>1680</v>
      </c>
      <c r="AX21" s="326"/>
      <c r="AY21" s="322" t="s">
        <v>56</v>
      </c>
      <c r="AZ21" s="324"/>
      <c r="BA21" s="330">
        <v>1628</v>
      </c>
      <c r="BB21" s="331"/>
    </row>
    <row r="22" spans="18:62" ht="54" customHeight="1">
      <c r="S22" s="78">
        <v>5</v>
      </c>
      <c r="T22" s="278"/>
      <c r="U22" s="279"/>
      <c r="V22" s="280"/>
      <c r="W22" s="281"/>
      <c r="X22" s="79" t="str">
        <f>TEXT(MOD(V22-T22,1),"h:mm")</f>
        <v>0:00</v>
      </c>
      <c r="Y22" s="80"/>
      <c r="Z22" s="318"/>
      <c r="AA22" s="318"/>
      <c r="AB22" s="318"/>
      <c r="AC22" s="318"/>
      <c r="AD22" s="318"/>
      <c r="AE22" s="318"/>
      <c r="AF22" s="318"/>
      <c r="AG22" s="357">
        <f>SUM(AY7:BA9)</f>
        <v>0</v>
      </c>
      <c r="AH22" s="357"/>
      <c r="AI22" s="298">
        <f>SUM(AY10:BA12)</f>
        <v>0</v>
      </c>
      <c r="AJ22" s="298"/>
      <c r="AK22" s="95"/>
      <c r="AL22" s="358">
        <f>SUM(AY13:BA15)</f>
        <v>0</v>
      </c>
      <c r="AM22" s="358"/>
      <c r="AN22" s="359"/>
      <c r="AO22" s="360">
        <f>SUM(AG22:AN22)</f>
        <v>0</v>
      </c>
      <c r="AP22" s="361"/>
      <c r="AQ22" s="361"/>
      <c r="AR22" s="361"/>
      <c r="AS22" s="362"/>
      <c r="AT22" s="98" t="s">
        <v>69</v>
      </c>
      <c r="AU22" s="363" t="s">
        <v>48</v>
      </c>
      <c r="AV22" s="364"/>
      <c r="AW22" s="365" t="s">
        <v>49</v>
      </c>
      <c r="AX22" s="366"/>
      <c r="AY22" s="332" t="s">
        <v>68</v>
      </c>
      <c r="AZ22" s="333"/>
      <c r="BA22" s="334" t="s">
        <v>57</v>
      </c>
      <c r="BB22" s="335"/>
    </row>
    <row r="23" spans="18:62" ht="59.25" customHeight="1">
      <c r="S23" s="336" t="s">
        <v>61</v>
      </c>
      <c r="T23" s="337"/>
      <c r="U23" s="337"/>
      <c r="V23" s="337"/>
      <c r="W23" s="338"/>
      <c r="X23" s="85">
        <f>SUM(X18+X19+X20+X21+X22)</f>
        <v>0</v>
      </c>
      <c r="Y23" s="134" t="s">
        <v>62</v>
      </c>
      <c r="Z23" s="86"/>
      <c r="AA23" s="87"/>
      <c r="AB23" s="87"/>
      <c r="AC23" s="339" t="s">
        <v>63</v>
      </c>
      <c r="AD23" s="339"/>
      <c r="AE23" s="340"/>
      <c r="AF23" s="341"/>
      <c r="AG23" s="342" t="s">
        <v>22</v>
      </c>
      <c r="AH23" s="343"/>
      <c r="AI23" s="344"/>
      <c r="AJ23" s="345" t="s">
        <v>48</v>
      </c>
      <c r="AK23" s="346"/>
      <c r="AL23" s="346"/>
      <c r="AM23" s="347"/>
      <c r="AN23" s="348" t="s">
        <v>49</v>
      </c>
      <c r="AO23" s="348"/>
      <c r="AP23" s="348"/>
      <c r="AQ23" s="349" t="s">
        <v>68</v>
      </c>
      <c r="AR23" s="350"/>
      <c r="AS23" s="351"/>
      <c r="AT23" s="96" t="s">
        <v>60</v>
      </c>
      <c r="AU23" s="352">
        <f>SUM(AQ7:AQ9)</f>
        <v>0</v>
      </c>
      <c r="AV23" s="353"/>
      <c r="AW23" s="352">
        <f>SUM(AQ10:AQ12)</f>
        <v>0</v>
      </c>
      <c r="AX23" s="354"/>
      <c r="AY23" s="352">
        <f>SUM(AQ13:AQ15)</f>
        <v>0</v>
      </c>
      <c r="AZ23" s="353"/>
      <c r="BA23" s="355">
        <f>SUM(AU23:AZ23)</f>
        <v>0</v>
      </c>
      <c r="BB23" s="356"/>
    </row>
    <row r="24" spans="18:62" ht="57" customHeight="1">
      <c r="S24" s="367"/>
      <c r="T24" s="368"/>
      <c r="U24" s="368"/>
      <c r="V24" s="368"/>
      <c r="W24" s="369"/>
      <c r="X24" s="373" t="s">
        <v>73</v>
      </c>
      <c r="Y24" s="104" t="s">
        <v>70</v>
      </c>
      <c r="Z24" s="105" t="s">
        <v>71</v>
      </c>
      <c r="AA24" s="103"/>
      <c r="AB24" s="103"/>
      <c r="AC24" s="375" t="s">
        <v>72</v>
      </c>
      <c r="AD24" s="376"/>
      <c r="AE24" s="377" t="s">
        <v>57</v>
      </c>
      <c r="AF24" s="378"/>
      <c r="AG24" s="379" t="s">
        <v>58</v>
      </c>
      <c r="AH24" s="380"/>
      <c r="AI24" s="381"/>
      <c r="AJ24" s="382">
        <f>AVERAGE(Z7:Z8)</f>
        <v>0</v>
      </c>
      <c r="AK24" s="383"/>
      <c r="AL24" s="383"/>
      <c r="AM24" s="383"/>
      <c r="AN24" s="382">
        <f>AVERAGE(Z10:Z11)</f>
        <v>0</v>
      </c>
      <c r="AO24" s="383"/>
      <c r="AP24" s="383"/>
      <c r="AQ24" s="382">
        <f>AVERAGE(Z13:Z14)</f>
        <v>0</v>
      </c>
      <c r="AR24" s="383"/>
      <c r="AS24" s="383"/>
      <c r="AT24" s="97" t="s">
        <v>64</v>
      </c>
      <c r="AU24" s="387">
        <f>SUM(AL7:AP9)</f>
        <v>0</v>
      </c>
      <c r="AV24" s="388"/>
      <c r="AW24" s="387">
        <f>SUM(AL10:AP12)</f>
        <v>0</v>
      </c>
      <c r="AX24" s="388"/>
      <c r="AY24" s="387">
        <f>SUM(AL13:AP15)</f>
        <v>0</v>
      </c>
      <c r="AZ24" s="388"/>
      <c r="BA24" s="389">
        <f>SUM(AU24:AZ24)</f>
        <v>0</v>
      </c>
      <c r="BB24" s="390"/>
    </row>
    <row r="25" spans="18:62" ht="52.5" customHeight="1">
      <c r="S25" s="370"/>
      <c r="T25" s="371"/>
      <c r="U25" s="371"/>
      <c r="V25" s="371"/>
      <c r="W25" s="372"/>
      <c r="X25" s="374"/>
      <c r="Y25" s="106">
        <f>SUM(AD7:AD8)</f>
        <v>0</v>
      </c>
      <c r="Z25" s="106">
        <f>SUM(AD10:AD12)</f>
        <v>0</v>
      </c>
      <c r="AA25" s="107"/>
      <c r="AB25" s="107"/>
      <c r="AC25" s="391">
        <f>SUM(AD13:AD15)</f>
        <v>0</v>
      </c>
      <c r="AD25" s="392"/>
      <c r="AE25" s="393">
        <f>SUM(Y25:AD25)</f>
        <v>0</v>
      </c>
      <c r="AF25" s="394"/>
      <c r="AG25" s="379" t="s">
        <v>59</v>
      </c>
      <c r="AH25" s="380"/>
      <c r="AI25" s="381"/>
      <c r="AJ25" s="382">
        <f>SUM(Z7:Z9)</f>
        <v>0</v>
      </c>
      <c r="AK25" s="383"/>
      <c r="AL25" s="383"/>
      <c r="AM25" s="383"/>
      <c r="AN25" s="382">
        <f>SUM(Z10:Z12)</f>
        <v>0</v>
      </c>
      <c r="AO25" s="383"/>
      <c r="AP25" s="383"/>
      <c r="AQ25" s="382">
        <f>SUM(Z13:Z15)</f>
        <v>0</v>
      </c>
      <c r="AR25" s="383"/>
      <c r="AS25" s="383"/>
      <c r="AT25" s="384"/>
      <c r="AU25" s="385"/>
      <c r="AV25" s="385"/>
      <c r="AW25" s="385"/>
      <c r="AX25" s="385"/>
      <c r="AY25" s="385"/>
      <c r="AZ25" s="385"/>
      <c r="BA25" s="385"/>
      <c r="BB25" s="386"/>
    </row>
    <row r="26" spans="18:62" ht="60.75" customHeight="1"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8:62" ht="30" customHeight="1"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8:62" ht="30" customHeight="1"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T28" s="4"/>
      <c r="AU28" s="4"/>
      <c r="AV28" s="4"/>
      <c r="AW28" s="4"/>
      <c r="AX28" s="4"/>
      <c r="AY28" s="4"/>
      <c r="AZ28" s="4"/>
      <c r="BA28" s="4"/>
    </row>
    <row r="29" spans="18:62" ht="30" customHeight="1"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T29" s="4"/>
      <c r="AU29" s="4"/>
      <c r="AV29" s="4"/>
      <c r="AW29" s="4"/>
      <c r="AX29" s="4"/>
      <c r="AY29" s="4"/>
      <c r="AZ29" s="4"/>
      <c r="BA29" s="4"/>
    </row>
    <row r="30" spans="18:62" ht="30" customHeight="1">
      <c r="R30" s="3"/>
      <c r="S30" s="3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T30" s="4"/>
      <c r="AU30" s="4"/>
      <c r="AV30" s="4"/>
      <c r="AW30" s="4"/>
      <c r="AX30" s="4"/>
      <c r="AY30" s="4"/>
      <c r="AZ30" s="4"/>
      <c r="BA30" s="4"/>
    </row>
    <row r="31" spans="18:62" ht="30" customHeight="1">
      <c r="R31" s="3"/>
      <c r="S31" s="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T31" s="4"/>
      <c r="AU31" s="4"/>
      <c r="AV31" s="4"/>
      <c r="AW31" s="4"/>
      <c r="AX31" s="4"/>
      <c r="AY31" s="4"/>
      <c r="AZ31" s="4"/>
      <c r="BA31" s="4"/>
    </row>
    <row r="32" spans="18:62" ht="15" customHeight="1">
      <c r="S32" s="3"/>
      <c r="BJ32" s="4">
        <v>8</v>
      </c>
    </row>
  </sheetData>
  <mergeCells count="145">
    <mergeCell ref="S24:W25"/>
    <mergeCell ref="X24:X25"/>
    <mergeCell ref="AC24:AD24"/>
    <mergeCell ref="AE24:AF24"/>
    <mergeCell ref="AG24:AI24"/>
    <mergeCell ref="AJ24:AM24"/>
    <mergeCell ref="AN24:AP24"/>
    <mergeCell ref="AQ25:AS25"/>
    <mergeCell ref="AT25:BB25"/>
    <mergeCell ref="AQ24:AS24"/>
    <mergeCell ref="AU24:AV24"/>
    <mergeCell ref="AW24:AX24"/>
    <mergeCell ref="AY24:AZ24"/>
    <mergeCell ref="BA24:BB24"/>
    <mergeCell ref="AC25:AD25"/>
    <mergeCell ref="AE25:AF25"/>
    <mergeCell ref="AG25:AI25"/>
    <mergeCell ref="AJ25:AM25"/>
    <mergeCell ref="AN25:AP25"/>
    <mergeCell ref="AY22:AZ22"/>
    <mergeCell ref="BA22:BB22"/>
    <mergeCell ref="S23:W23"/>
    <mergeCell ref="AC23:AD23"/>
    <mergeCell ref="AE23:AF23"/>
    <mergeCell ref="AG23:AI23"/>
    <mergeCell ref="AJ23:AM23"/>
    <mergeCell ref="AN23:AP23"/>
    <mergeCell ref="AQ23:AS23"/>
    <mergeCell ref="AU23:AV23"/>
    <mergeCell ref="AW23:AX23"/>
    <mergeCell ref="AY23:AZ23"/>
    <mergeCell ref="BA23:BB23"/>
    <mergeCell ref="T22:U22"/>
    <mergeCell ref="V22:W22"/>
    <mergeCell ref="Z22:AF22"/>
    <mergeCell ref="AG22:AH22"/>
    <mergeCell ref="AI22:AJ22"/>
    <mergeCell ref="AL22:AN22"/>
    <mergeCell ref="AO22:AS22"/>
    <mergeCell ref="AU22:AV22"/>
    <mergeCell ref="AW22:AX22"/>
    <mergeCell ref="AO20:AS20"/>
    <mergeCell ref="AU20:AV20"/>
    <mergeCell ref="BA20:BB20"/>
    <mergeCell ref="T21:U21"/>
    <mergeCell ref="V21:W21"/>
    <mergeCell ref="Z21:AF21"/>
    <mergeCell ref="AG21:AS21"/>
    <mergeCell ref="AT21:AV21"/>
    <mergeCell ref="AW21:AX21"/>
    <mergeCell ref="AY21:AZ21"/>
    <mergeCell ref="T20:U20"/>
    <mergeCell ref="V20:W20"/>
    <mergeCell ref="Z20:AF20"/>
    <mergeCell ref="AG20:AH20"/>
    <mergeCell ref="AI20:AJ20"/>
    <mergeCell ref="AL20:AN20"/>
    <mergeCell ref="BA21:BB21"/>
    <mergeCell ref="AU18:AV18"/>
    <mergeCell ref="BA18:BB18"/>
    <mergeCell ref="T19:U19"/>
    <mergeCell ref="V19:W19"/>
    <mergeCell ref="Z19:AF19"/>
    <mergeCell ref="AG19:AS19"/>
    <mergeCell ref="AU19:AV19"/>
    <mergeCell ref="BA19:BB19"/>
    <mergeCell ref="AO17:AS17"/>
    <mergeCell ref="AU17:AV17"/>
    <mergeCell ref="BA17:BB17"/>
    <mergeCell ref="T18:U18"/>
    <mergeCell ref="V18:W18"/>
    <mergeCell ref="Z18:AF18"/>
    <mergeCell ref="AG18:AH18"/>
    <mergeCell ref="AI18:AJ18"/>
    <mergeCell ref="AL18:AN18"/>
    <mergeCell ref="AO18:AS18"/>
    <mergeCell ref="T17:U17"/>
    <mergeCell ref="V17:W17"/>
    <mergeCell ref="Z17:AF17"/>
    <mergeCell ref="AG17:AH17"/>
    <mergeCell ref="AI17:AJ17"/>
    <mergeCell ref="AL17:AN17"/>
    <mergeCell ref="S16:AF16"/>
    <mergeCell ref="AG16:AS16"/>
    <mergeCell ref="AT16:BB16"/>
    <mergeCell ref="AU5:AU6"/>
    <mergeCell ref="AV5:AV6"/>
    <mergeCell ref="AW5:AW6"/>
    <mergeCell ref="AX5:AX6"/>
    <mergeCell ref="AY5:AY6"/>
    <mergeCell ref="AZ5:AZ6"/>
    <mergeCell ref="AH5:AH6"/>
    <mergeCell ref="AI5:AI6"/>
    <mergeCell ref="AJ5:AJ6"/>
    <mergeCell ref="AK5:AR5"/>
    <mergeCell ref="AS5:AS6"/>
    <mergeCell ref="AT5:AT6"/>
    <mergeCell ref="AB5:AB6"/>
    <mergeCell ref="AC5:AC6"/>
    <mergeCell ref="AD5:AD6"/>
    <mergeCell ref="AE5:AE6"/>
    <mergeCell ref="S4:Z4"/>
    <mergeCell ref="AA4:AB4"/>
    <mergeCell ref="AC4:AD4"/>
    <mergeCell ref="AE4:AJ4"/>
    <mergeCell ref="AL4:AQ4"/>
    <mergeCell ref="AS4:AW4"/>
    <mergeCell ref="T7:T9"/>
    <mergeCell ref="T10:T12"/>
    <mergeCell ref="T13:T15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Q1:AT1"/>
    <mergeCell ref="AU1:AW1"/>
    <mergeCell ref="AF5:AF6"/>
    <mergeCell ref="AG5:AG6"/>
    <mergeCell ref="AX1:BB3"/>
    <mergeCell ref="AC2:AE2"/>
    <mergeCell ref="AF2:AH2"/>
    <mergeCell ref="AI2:AL2"/>
    <mergeCell ref="AM2:AP2"/>
    <mergeCell ref="AQ2:AT2"/>
    <mergeCell ref="AU2:AW2"/>
    <mergeCell ref="AC3:AE3"/>
    <mergeCell ref="AQ3:AT3"/>
    <mergeCell ref="AU3:AW3"/>
    <mergeCell ref="AX4:BB4"/>
    <mergeCell ref="BA5:BA6"/>
    <mergeCell ref="BB5:BB6"/>
    <mergeCell ref="S1:W3"/>
    <mergeCell ref="X1:Y3"/>
    <mergeCell ref="AC1:AE1"/>
    <mergeCell ref="AF1:AH1"/>
    <mergeCell ref="AI1:AL1"/>
    <mergeCell ref="AM1:AP1"/>
    <mergeCell ref="AF3:AH3"/>
    <mergeCell ref="AI3:AL3"/>
    <mergeCell ref="AM3:AP3"/>
  </mergeCells>
  <conditionalFormatting sqref="Z7:Z15">
    <cfRule type="cellIs" dxfId="272" priority="3" operator="greaterThan">
      <formula>0.167361111111111</formula>
    </cfRule>
    <cfRule type="cellIs" dxfId="271" priority="4" operator="greaterThan">
      <formula>0.15625</formula>
    </cfRule>
  </conditionalFormatting>
  <conditionalFormatting sqref="AA7:AJ15">
    <cfRule type="cellIs" dxfId="270" priority="11" operator="between">
      <formula>1700</formula>
      <formula>1710</formula>
    </cfRule>
    <cfRule type="cellIs" dxfId="269" priority="12" operator="between">
      <formula>1691</formula>
      <formula>1700</formula>
    </cfRule>
  </conditionalFormatting>
  <conditionalFormatting sqref="AS7:AS15">
    <cfRule type="expression" dxfId="268" priority="13">
      <formula>IF(($AS7/$AX7)*1000&gt;$AY$1,1,0)</formula>
    </cfRule>
  </conditionalFormatting>
  <conditionalFormatting sqref="AT7:AW15">
    <cfRule type="cellIs" dxfId="267" priority="5" operator="greaterThan">
      <formula>10</formula>
    </cfRule>
  </conditionalFormatting>
  <conditionalFormatting sqref="AX7:AX15">
    <cfRule type="cellIs" dxfId="266" priority="2" operator="between">
      <formula>16000</formula>
      <formula>17200</formula>
    </cfRule>
    <cfRule type="cellIs" dxfId="265" priority="6" operator="lessThan">
      <formula>15800</formula>
    </cfRule>
    <cfRule type="cellIs" dxfId="264" priority="7" operator="greaterThan">
      <formula>18000</formula>
    </cfRule>
  </conditionalFormatting>
  <conditionalFormatting sqref="AZ7:BA15">
    <cfRule type="cellIs" dxfId="263" priority="10" operator="greaterThan">
      <formula>0</formula>
    </cfRule>
  </conditionalFormatting>
  <conditionalFormatting sqref="BB7:BB15">
    <cfRule type="cellIs" dxfId="262" priority="1" operator="between">
      <formula>16000</formula>
      <formula>17200</formula>
    </cfRule>
    <cfRule type="cellIs" dxfId="261" priority="8" operator="greaterThan">
      <formula>18000</formula>
    </cfRule>
    <cfRule type="cellIs" dxfId="260" priority="9" operator="lessThan">
      <formula>15800</formula>
    </cfRule>
  </conditionalFormatting>
  <printOptions horizontalCentered="1" verticalCentered="1"/>
  <pageMargins left="0" right="0" top="0" bottom="0.21" header="0" footer="0"/>
  <pageSetup paperSize="9" scale="42" orientation="landscape" cellComments="asDisplayed" r:id="rId1"/>
  <headerFooter differentFirst="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44B84-4CC0-448E-B26D-9102B871B681}">
  <sheetPr>
    <tabColor theme="5"/>
    <pageSetUpPr fitToPage="1"/>
  </sheetPr>
  <dimension ref="R1:BJ32"/>
  <sheetViews>
    <sheetView showGridLines="0" rightToLeft="1" topLeftCell="N1" zoomScale="55" zoomScaleNormal="55" zoomScalePageLayoutView="40" workbookViewId="0">
      <selection activeCell="AU9" sqref="AU9"/>
    </sheetView>
  </sheetViews>
  <sheetFormatPr defaultColWidth="9.140625" defaultRowHeight="15"/>
  <cols>
    <col min="1" max="18" width="9.140625" style="4"/>
    <col min="19" max="19" width="5.7109375" style="4" customWidth="1"/>
    <col min="20" max="20" width="9.5703125" style="3" customWidth="1"/>
    <col min="21" max="21" width="10.7109375" style="3" customWidth="1"/>
    <col min="22" max="22" width="9.42578125" style="88" customWidth="1"/>
    <col min="23" max="23" width="8.85546875" style="88" customWidth="1"/>
    <col min="24" max="24" width="14.42578125" style="3" customWidth="1"/>
    <col min="25" max="25" width="14.7109375" style="3" customWidth="1"/>
    <col min="26" max="26" width="15.140625" style="88" customWidth="1"/>
    <col min="27" max="27" width="9.5703125" style="3" hidden="1" customWidth="1"/>
    <col min="28" max="28" width="10" style="3" hidden="1" customWidth="1"/>
    <col min="29" max="29" width="8.140625" style="3" customWidth="1"/>
    <col min="30" max="30" width="8.5703125" style="3" customWidth="1"/>
    <col min="31" max="31" width="12.42578125" style="3" customWidth="1"/>
    <col min="32" max="32" width="10.5703125" style="3" customWidth="1"/>
    <col min="33" max="33" width="9.5703125" style="3" customWidth="1"/>
    <col min="34" max="34" width="11.42578125" style="3" customWidth="1"/>
    <col min="35" max="35" width="9.42578125" style="3" customWidth="1"/>
    <col min="36" max="36" width="9.28515625" style="3" customWidth="1"/>
    <col min="37" max="37" width="6.7109375" style="3" hidden="1" customWidth="1"/>
    <col min="38" max="42" width="6.7109375" style="3" customWidth="1"/>
    <col min="43" max="43" width="8.140625" style="3" customWidth="1"/>
    <col min="44" max="44" width="6.7109375" style="3" hidden="1" customWidth="1"/>
    <col min="45" max="45" width="10.42578125" style="3" customWidth="1"/>
    <col min="46" max="46" width="8.7109375" style="3" customWidth="1"/>
    <col min="47" max="47" width="8.5703125" style="3" customWidth="1"/>
    <col min="48" max="48" width="8.7109375" style="3" customWidth="1"/>
    <col min="49" max="49" width="9.5703125" style="3" customWidth="1"/>
    <col min="50" max="50" width="12.42578125" style="88" customWidth="1"/>
    <col min="51" max="51" width="11.85546875" style="3" customWidth="1"/>
    <col min="52" max="52" width="11.5703125" style="3" customWidth="1"/>
    <col min="53" max="53" width="13.42578125" style="3" customWidth="1"/>
    <col min="54" max="54" width="13.5703125" style="4" customWidth="1"/>
    <col min="55" max="57" width="9.140625" style="4"/>
    <col min="58" max="58" width="25" style="4" customWidth="1"/>
    <col min="59" max="61" width="9.140625" style="4"/>
    <col min="62" max="62" width="23.5703125" style="4" customWidth="1"/>
    <col min="63" max="16384" width="9.140625" style="4"/>
  </cols>
  <sheetData>
    <row r="1" spans="19:54" ht="36.75" customHeight="1" thickBot="1">
      <c r="S1" s="180"/>
      <c r="T1" s="181"/>
      <c r="U1" s="181"/>
      <c r="V1" s="181"/>
      <c r="W1" s="181"/>
      <c r="X1" s="182" t="s">
        <v>0</v>
      </c>
      <c r="Y1" s="183"/>
      <c r="Z1" s="1" t="s">
        <v>1</v>
      </c>
      <c r="AA1" s="2"/>
      <c r="AC1" s="188" t="s">
        <v>2</v>
      </c>
      <c r="AD1" s="189"/>
      <c r="AE1" s="189"/>
      <c r="AF1" s="190" t="s">
        <v>75</v>
      </c>
      <c r="AG1" s="191"/>
      <c r="AH1" s="192"/>
      <c r="AI1" s="193" t="s">
        <v>3</v>
      </c>
      <c r="AJ1" s="194"/>
      <c r="AK1" s="194"/>
      <c r="AL1" s="195"/>
      <c r="AM1" s="196" t="s">
        <v>76</v>
      </c>
      <c r="AN1" s="197"/>
      <c r="AO1" s="197"/>
      <c r="AP1" s="198"/>
      <c r="AQ1" s="203" t="s">
        <v>4</v>
      </c>
      <c r="AR1" s="204"/>
      <c r="AS1" s="204"/>
      <c r="AT1" s="205"/>
      <c r="AU1" s="206" t="s">
        <v>74</v>
      </c>
      <c r="AV1" s="207"/>
      <c r="AW1" s="208"/>
      <c r="AX1" s="211" t="s">
        <v>112</v>
      </c>
      <c r="AY1" s="211"/>
      <c r="AZ1" s="211"/>
      <c r="BA1" s="211"/>
      <c r="BB1" s="211"/>
    </row>
    <row r="2" spans="19:54" ht="36.75" customHeight="1" thickBot="1">
      <c r="S2" s="180"/>
      <c r="T2" s="181"/>
      <c r="U2" s="181"/>
      <c r="V2" s="181"/>
      <c r="W2" s="181"/>
      <c r="X2" s="184"/>
      <c r="Y2" s="185"/>
      <c r="Z2" s="5" t="s">
        <v>5</v>
      </c>
      <c r="AA2" s="89"/>
      <c r="AC2" s="188" t="s">
        <v>2</v>
      </c>
      <c r="AD2" s="189"/>
      <c r="AE2" s="212"/>
      <c r="AF2" s="190" t="s">
        <v>78</v>
      </c>
      <c r="AG2" s="191"/>
      <c r="AH2" s="192"/>
      <c r="AI2" s="193" t="s">
        <v>3</v>
      </c>
      <c r="AJ2" s="194"/>
      <c r="AK2" s="194"/>
      <c r="AL2" s="195"/>
      <c r="AM2" s="202" t="s">
        <v>79</v>
      </c>
      <c r="AN2" s="202"/>
      <c r="AO2" s="202"/>
      <c r="AP2" s="202"/>
      <c r="AQ2" s="203" t="s">
        <v>4</v>
      </c>
      <c r="AR2" s="204"/>
      <c r="AS2" s="204"/>
      <c r="AT2" s="205"/>
      <c r="AU2" s="213" t="s">
        <v>77</v>
      </c>
      <c r="AV2" s="213"/>
      <c r="AW2" s="213"/>
      <c r="AX2" s="211"/>
      <c r="AY2" s="211"/>
      <c r="AZ2" s="211"/>
      <c r="BA2" s="211"/>
      <c r="BB2" s="211"/>
    </row>
    <row r="3" spans="19:54" ht="38.25" customHeight="1" thickBot="1">
      <c r="S3" s="181"/>
      <c r="T3" s="181"/>
      <c r="U3" s="181"/>
      <c r="V3" s="181"/>
      <c r="W3" s="181"/>
      <c r="X3" s="186"/>
      <c r="Y3" s="187"/>
      <c r="Z3" s="90" t="s">
        <v>65</v>
      </c>
      <c r="AA3" s="6"/>
      <c r="AC3" s="188" t="s">
        <v>6</v>
      </c>
      <c r="AD3" s="189"/>
      <c r="AE3" s="212"/>
      <c r="AF3" s="190" t="s">
        <v>81</v>
      </c>
      <c r="AG3" s="191"/>
      <c r="AH3" s="192"/>
      <c r="AI3" s="199" t="s">
        <v>7</v>
      </c>
      <c r="AJ3" s="200"/>
      <c r="AK3" s="200"/>
      <c r="AL3" s="201"/>
      <c r="AM3" s="202" t="s">
        <v>82</v>
      </c>
      <c r="AN3" s="202"/>
      <c r="AO3" s="202"/>
      <c r="AP3" s="202"/>
      <c r="AQ3" s="203" t="s">
        <v>4</v>
      </c>
      <c r="AR3" s="204"/>
      <c r="AS3" s="204"/>
      <c r="AT3" s="214"/>
      <c r="AU3" s="215" t="s">
        <v>80</v>
      </c>
      <c r="AV3" s="216"/>
      <c r="AW3" s="217"/>
      <c r="AX3" s="211"/>
      <c r="AY3" s="211"/>
      <c r="AZ3" s="211"/>
      <c r="BA3" s="211"/>
      <c r="BB3" s="211"/>
    </row>
    <row r="4" spans="19:54" ht="34.5" customHeight="1" thickBot="1">
      <c r="S4" s="225" t="s">
        <v>8</v>
      </c>
      <c r="T4" s="226"/>
      <c r="U4" s="226"/>
      <c r="V4" s="226"/>
      <c r="W4" s="226"/>
      <c r="X4" s="227"/>
      <c r="Y4" s="227"/>
      <c r="Z4" s="228"/>
      <c r="AA4" s="229" t="s">
        <v>9</v>
      </c>
      <c r="AB4" s="230"/>
      <c r="AC4" s="231" t="s">
        <v>10</v>
      </c>
      <c r="AD4" s="232"/>
      <c r="AE4" s="233" t="s">
        <v>11</v>
      </c>
      <c r="AF4" s="234"/>
      <c r="AG4" s="234"/>
      <c r="AH4" s="234"/>
      <c r="AI4" s="234"/>
      <c r="AJ4" s="235"/>
      <c r="AK4" s="7"/>
      <c r="AL4" s="236" t="s">
        <v>12</v>
      </c>
      <c r="AM4" s="237"/>
      <c r="AN4" s="237"/>
      <c r="AO4" s="237"/>
      <c r="AP4" s="237"/>
      <c r="AQ4" s="237"/>
      <c r="AR4" s="8"/>
      <c r="AS4" s="238" t="s">
        <v>13</v>
      </c>
      <c r="AT4" s="239"/>
      <c r="AU4" s="239"/>
      <c r="AV4" s="239"/>
      <c r="AW4" s="240"/>
      <c r="AX4" s="218" t="s">
        <v>14</v>
      </c>
      <c r="AY4" s="219"/>
      <c r="AZ4" s="219"/>
      <c r="BA4" s="219"/>
      <c r="BB4" s="220"/>
    </row>
    <row r="5" spans="19:54" ht="52.5" customHeight="1">
      <c r="S5" s="246" t="s">
        <v>15</v>
      </c>
      <c r="T5" s="248" t="s">
        <v>16</v>
      </c>
      <c r="U5" s="248" t="s">
        <v>17</v>
      </c>
      <c r="V5" s="248" t="s">
        <v>18</v>
      </c>
      <c r="W5" s="248" t="s">
        <v>19</v>
      </c>
      <c r="X5" s="248" t="s">
        <v>20</v>
      </c>
      <c r="Y5" s="248" t="s">
        <v>21</v>
      </c>
      <c r="Z5" s="250" t="s">
        <v>22</v>
      </c>
      <c r="AA5" s="252" t="s">
        <v>23</v>
      </c>
      <c r="AB5" s="270" t="s">
        <v>9</v>
      </c>
      <c r="AC5" s="272" t="s">
        <v>24</v>
      </c>
      <c r="AD5" s="272" t="s">
        <v>25</v>
      </c>
      <c r="AE5" s="274" t="s">
        <v>26</v>
      </c>
      <c r="AF5" s="209" t="s">
        <v>27</v>
      </c>
      <c r="AG5" s="209" t="s">
        <v>28</v>
      </c>
      <c r="AH5" s="263" t="s">
        <v>29</v>
      </c>
      <c r="AI5" s="263" t="s">
        <v>30</v>
      </c>
      <c r="AJ5" s="265" t="s">
        <v>31</v>
      </c>
      <c r="AK5" s="267" t="s">
        <v>32</v>
      </c>
      <c r="AL5" s="268"/>
      <c r="AM5" s="268"/>
      <c r="AN5" s="268"/>
      <c r="AO5" s="268"/>
      <c r="AP5" s="268"/>
      <c r="AQ5" s="268"/>
      <c r="AR5" s="269"/>
      <c r="AS5" s="259" t="s">
        <v>33</v>
      </c>
      <c r="AT5" s="259" t="s">
        <v>34</v>
      </c>
      <c r="AU5" s="259" t="s">
        <v>35</v>
      </c>
      <c r="AV5" s="259" t="s">
        <v>66</v>
      </c>
      <c r="AW5" s="261" t="s">
        <v>36</v>
      </c>
      <c r="AX5" s="252" t="s">
        <v>37</v>
      </c>
      <c r="AY5" s="221" t="s">
        <v>38</v>
      </c>
      <c r="AZ5" s="221" t="s">
        <v>39</v>
      </c>
      <c r="BA5" s="221" t="s">
        <v>40</v>
      </c>
      <c r="BB5" s="223" t="s">
        <v>41</v>
      </c>
    </row>
    <row r="6" spans="19:54" ht="27.95" customHeight="1" thickBot="1">
      <c r="S6" s="247"/>
      <c r="T6" s="249"/>
      <c r="U6" s="249"/>
      <c r="V6" s="249"/>
      <c r="W6" s="249"/>
      <c r="X6" s="249"/>
      <c r="Y6" s="249"/>
      <c r="Z6" s="251"/>
      <c r="AA6" s="253"/>
      <c r="AB6" s="271"/>
      <c r="AC6" s="273"/>
      <c r="AD6" s="273"/>
      <c r="AE6" s="275"/>
      <c r="AF6" s="210"/>
      <c r="AG6" s="210"/>
      <c r="AH6" s="264"/>
      <c r="AI6" s="264"/>
      <c r="AJ6" s="266"/>
      <c r="AK6" s="9">
        <v>1</v>
      </c>
      <c r="AL6" s="10">
        <v>2</v>
      </c>
      <c r="AM6" s="10">
        <v>3</v>
      </c>
      <c r="AN6" s="10">
        <v>4</v>
      </c>
      <c r="AO6" s="10">
        <v>5</v>
      </c>
      <c r="AP6" s="10">
        <v>6</v>
      </c>
      <c r="AQ6" s="10">
        <v>12</v>
      </c>
      <c r="AR6" s="11"/>
      <c r="AS6" s="260"/>
      <c r="AT6" s="260"/>
      <c r="AU6" s="260"/>
      <c r="AV6" s="260"/>
      <c r="AW6" s="262"/>
      <c r="AX6" s="253"/>
      <c r="AY6" s="222"/>
      <c r="AZ6" s="222"/>
      <c r="BA6" s="222"/>
      <c r="BB6" s="224"/>
    </row>
    <row r="7" spans="19:54" s="34" customFormat="1" ht="48" customHeight="1" thickBot="1">
      <c r="S7" s="12">
        <v>1</v>
      </c>
      <c r="T7" s="241" t="s">
        <v>1</v>
      </c>
      <c r="U7" s="35"/>
      <c r="V7" s="158"/>
      <c r="W7" s="158"/>
      <c r="X7" s="36"/>
      <c r="Y7" s="36"/>
      <c r="Z7" s="18">
        <f>IF(Y7&lt;X7,1+Y7-X7,Y7-X7)</f>
        <v>0</v>
      </c>
      <c r="AA7" s="19"/>
      <c r="AB7" s="20"/>
      <c r="AC7" s="21"/>
      <c r="AD7" s="101"/>
      <c r="AE7" s="41"/>
      <c r="AF7" s="42"/>
      <c r="AG7" s="42"/>
      <c r="AH7" s="42"/>
      <c r="AI7" s="42"/>
      <c r="AJ7" s="43"/>
      <c r="AK7" s="44"/>
      <c r="AL7" s="45"/>
      <c r="AM7" s="45"/>
      <c r="AN7" s="45"/>
      <c r="AO7" s="45"/>
      <c r="AP7" s="45"/>
      <c r="AQ7" s="45"/>
      <c r="AR7" s="46"/>
      <c r="AS7" s="47"/>
      <c r="AT7" s="35"/>
      <c r="AU7" s="35"/>
      <c r="AV7" s="35"/>
      <c r="AW7" s="48"/>
      <c r="AX7" s="30">
        <f t="shared" ref="AX7:AX15" si="0">SUM(AY7:BB7)</f>
        <v>0</v>
      </c>
      <c r="AY7" s="31">
        <v>0</v>
      </c>
      <c r="AZ7" s="32">
        <v>0</v>
      </c>
      <c r="BA7" s="31">
        <v>0</v>
      </c>
      <c r="BB7" s="33">
        <f t="shared" ref="BB7:BB15" si="1">SUM(($AQ$6*AQ7+$AP$6*AP7+$AN$6*AN7+$AM$6*$AM7+$AL$6*AL7+$AK$6*AK7+$AO$6*AO7+$AR$6*AR7)*175)</f>
        <v>0</v>
      </c>
    </row>
    <row r="8" spans="19:54" s="34" customFormat="1" ht="48" customHeight="1" thickBot="1">
      <c r="S8" s="12">
        <v>2</v>
      </c>
      <c r="T8" s="242"/>
      <c r="U8" s="13"/>
      <c r="V8" s="14"/>
      <c r="W8" s="15"/>
      <c r="X8" s="16"/>
      <c r="Y8" s="17"/>
      <c r="Z8" s="37">
        <f>IF(Y8&lt;X8,1+Y8-X8,Y8-X8)</f>
        <v>0</v>
      </c>
      <c r="AA8" s="38"/>
      <c r="AB8" s="39"/>
      <c r="AC8" s="147"/>
      <c r="AD8" s="100"/>
      <c r="AE8" s="22"/>
      <c r="AF8" s="23"/>
      <c r="AG8" s="23"/>
      <c r="AH8" s="23"/>
      <c r="AI8" s="23"/>
      <c r="AJ8" s="24"/>
      <c r="AK8" s="25"/>
      <c r="AL8" s="26"/>
      <c r="AM8" s="26"/>
      <c r="AN8" s="26"/>
      <c r="AO8" s="26"/>
      <c r="AP8" s="26"/>
      <c r="AQ8" s="26"/>
      <c r="AR8" s="27"/>
      <c r="AS8" s="28"/>
      <c r="AT8" s="13"/>
      <c r="AU8" s="13"/>
      <c r="AV8" s="13"/>
      <c r="AW8" s="29"/>
      <c r="AX8" s="49">
        <f t="shared" si="0"/>
        <v>0</v>
      </c>
      <c r="AY8" s="50">
        <v>0</v>
      </c>
      <c r="AZ8" s="51">
        <v>0</v>
      </c>
      <c r="BA8" s="52">
        <v>0</v>
      </c>
      <c r="BB8" s="53">
        <f t="shared" si="1"/>
        <v>0</v>
      </c>
    </row>
    <row r="9" spans="19:54" s="34" customFormat="1" ht="48" customHeight="1" thickBot="1">
      <c r="S9" s="12">
        <v>3</v>
      </c>
      <c r="T9" s="242"/>
      <c r="U9" s="35"/>
      <c r="V9" s="158"/>
      <c r="W9" s="158"/>
      <c r="X9" s="36"/>
      <c r="Y9" s="36"/>
      <c r="Z9" s="37">
        <f>IF(Y9&lt;X9,1+Y9-X9,Y9-X9)</f>
        <v>0</v>
      </c>
      <c r="AA9" s="38"/>
      <c r="AB9" s="39"/>
      <c r="AC9" s="147"/>
      <c r="AD9" s="101"/>
      <c r="AE9" s="41"/>
      <c r="AF9" s="42"/>
      <c r="AG9" s="42"/>
      <c r="AH9" s="42"/>
      <c r="AI9" s="42"/>
      <c r="AJ9" s="43"/>
      <c r="AK9" s="44"/>
      <c r="AL9" s="45"/>
      <c r="AM9" s="45"/>
      <c r="AN9" s="45"/>
      <c r="AO9" s="45"/>
      <c r="AP9" s="45"/>
      <c r="AQ9" s="45"/>
      <c r="AR9" s="46"/>
      <c r="AS9" s="47"/>
      <c r="AT9" s="35"/>
      <c r="AU9" s="35"/>
      <c r="AV9" s="35"/>
      <c r="AW9" s="48"/>
      <c r="AX9" s="49">
        <f t="shared" si="0"/>
        <v>0</v>
      </c>
      <c r="AY9" s="51">
        <v>0</v>
      </c>
      <c r="AZ9" s="52">
        <v>0</v>
      </c>
      <c r="BA9" s="51">
        <v>0</v>
      </c>
      <c r="BB9" s="53">
        <f t="shared" si="1"/>
        <v>0</v>
      </c>
    </row>
    <row r="10" spans="19:54" s="34" customFormat="1" ht="48" customHeight="1" thickBot="1">
      <c r="S10" s="12">
        <v>4</v>
      </c>
      <c r="T10" s="243" t="s">
        <v>5</v>
      </c>
      <c r="U10" s="35"/>
      <c r="V10" s="133"/>
      <c r="W10" s="133"/>
      <c r="X10" s="36"/>
      <c r="Y10" s="36"/>
      <c r="Z10" s="37">
        <f t="shared" ref="Z10:Z15" si="2">IF(Y10&lt;X10,1+Y10-X10,Y10-X10)</f>
        <v>0</v>
      </c>
      <c r="AA10" s="38"/>
      <c r="AB10" s="39"/>
      <c r="AC10" s="147"/>
      <c r="AD10" s="101"/>
      <c r="AE10" s="41"/>
      <c r="AF10" s="42"/>
      <c r="AG10" s="42"/>
      <c r="AH10" s="42"/>
      <c r="AI10" s="42"/>
      <c r="AJ10" s="43"/>
      <c r="AK10" s="44"/>
      <c r="AL10" s="45"/>
      <c r="AM10" s="45"/>
      <c r="AN10" s="45"/>
      <c r="AO10" s="45"/>
      <c r="AP10" s="45"/>
      <c r="AQ10" s="45"/>
      <c r="AR10" s="46"/>
      <c r="AS10" s="47"/>
      <c r="AT10" s="35"/>
      <c r="AU10" s="35"/>
      <c r="AV10" s="35"/>
      <c r="AW10" s="48"/>
      <c r="AX10" s="49">
        <f t="shared" si="0"/>
        <v>0</v>
      </c>
      <c r="AY10" s="51">
        <v>0</v>
      </c>
      <c r="AZ10" s="52">
        <v>0</v>
      </c>
      <c r="BA10" s="51">
        <v>0</v>
      </c>
      <c r="BB10" s="53">
        <f t="shared" si="1"/>
        <v>0</v>
      </c>
    </row>
    <row r="11" spans="19:54" s="34" customFormat="1" ht="48" customHeight="1" thickBot="1">
      <c r="S11" s="12">
        <v>5</v>
      </c>
      <c r="T11" s="243"/>
      <c r="U11" s="35"/>
      <c r="V11" s="133"/>
      <c r="W11" s="133"/>
      <c r="X11" s="36"/>
      <c r="Y11" s="120"/>
      <c r="Z11" s="37">
        <f t="shared" si="2"/>
        <v>0</v>
      </c>
      <c r="AA11" s="38"/>
      <c r="AB11" s="39"/>
      <c r="AC11" s="147"/>
      <c r="AD11" s="101"/>
      <c r="AE11" s="41"/>
      <c r="AF11" s="42"/>
      <c r="AG11" s="42"/>
      <c r="AH11" s="42"/>
      <c r="AI11" s="42"/>
      <c r="AJ11" s="43"/>
      <c r="AK11" s="44"/>
      <c r="AL11" s="45"/>
      <c r="AM11" s="45"/>
      <c r="AN11" s="45"/>
      <c r="AO11" s="45"/>
      <c r="AP11" s="45"/>
      <c r="AQ11" s="45"/>
      <c r="AR11" s="46"/>
      <c r="AS11" s="47"/>
      <c r="AT11" s="35"/>
      <c r="AU11" s="35"/>
      <c r="AV11" s="35"/>
      <c r="AW11" s="48"/>
      <c r="AX11" s="49">
        <f t="shared" si="0"/>
        <v>0</v>
      </c>
      <c r="AY11" s="50">
        <v>0</v>
      </c>
      <c r="AZ11" s="51">
        <v>0</v>
      </c>
      <c r="BA11" s="52">
        <v>0</v>
      </c>
      <c r="BB11" s="53">
        <f t="shared" si="1"/>
        <v>0</v>
      </c>
    </row>
    <row r="12" spans="19:54" s="34" customFormat="1" ht="48" customHeight="1" thickBot="1">
      <c r="S12" s="12">
        <v>10</v>
      </c>
      <c r="T12" s="243"/>
      <c r="U12" s="13"/>
      <c r="V12" s="14"/>
      <c r="W12" s="14"/>
      <c r="X12" s="54"/>
      <c r="Y12" s="54"/>
      <c r="Z12" s="55">
        <f t="shared" si="2"/>
        <v>0</v>
      </c>
      <c r="AA12" s="19"/>
      <c r="AB12" s="20"/>
      <c r="AC12" s="21"/>
      <c r="AD12" s="100"/>
      <c r="AE12" s="22"/>
      <c r="AF12" s="23"/>
      <c r="AG12" s="23"/>
      <c r="AH12" s="23"/>
      <c r="AI12" s="23"/>
      <c r="AJ12" s="24"/>
      <c r="AK12" s="25"/>
      <c r="AL12" s="26"/>
      <c r="AM12" s="26"/>
      <c r="AN12" s="26"/>
      <c r="AO12" s="26"/>
      <c r="AP12" s="26"/>
      <c r="AQ12" s="26"/>
      <c r="AR12" s="27"/>
      <c r="AS12" s="28"/>
      <c r="AT12" s="13"/>
      <c r="AU12" s="13"/>
      <c r="AV12" s="13"/>
      <c r="AW12" s="29"/>
      <c r="AX12" s="30">
        <f t="shared" si="0"/>
        <v>0</v>
      </c>
      <c r="AY12" s="31">
        <v>0</v>
      </c>
      <c r="AZ12" s="32">
        <v>0</v>
      </c>
      <c r="BA12" s="31">
        <v>0</v>
      </c>
      <c r="BB12" s="56">
        <f t="shared" si="1"/>
        <v>0</v>
      </c>
    </row>
    <row r="13" spans="19:54" s="34" customFormat="1" ht="48" customHeight="1" thickBot="1">
      <c r="S13" s="12">
        <v>11</v>
      </c>
      <c r="T13" s="244" t="s">
        <v>65</v>
      </c>
      <c r="U13" s="35"/>
      <c r="V13" s="133"/>
      <c r="W13" s="133"/>
      <c r="X13" s="36"/>
      <c r="Y13" s="36"/>
      <c r="Z13" s="37">
        <f t="shared" si="2"/>
        <v>0</v>
      </c>
      <c r="AA13" s="38"/>
      <c r="AB13" s="39"/>
      <c r="AC13" s="40"/>
      <c r="AD13" s="101"/>
      <c r="AE13" s="41"/>
      <c r="AF13" s="42"/>
      <c r="AG13" s="42"/>
      <c r="AH13" s="42"/>
      <c r="AI13" s="42"/>
      <c r="AJ13" s="43"/>
      <c r="AK13" s="44"/>
      <c r="AL13" s="45"/>
      <c r="AM13" s="45"/>
      <c r="AN13" s="45"/>
      <c r="AO13" s="45"/>
      <c r="AP13" s="45"/>
      <c r="AQ13" s="45"/>
      <c r="AR13" s="46"/>
      <c r="AS13" s="47"/>
      <c r="AT13" s="35"/>
      <c r="AU13" s="35"/>
      <c r="AV13" s="35"/>
      <c r="AW13" s="48"/>
      <c r="AX13" s="49">
        <f t="shared" si="0"/>
        <v>0</v>
      </c>
      <c r="AY13" s="50">
        <v>0</v>
      </c>
      <c r="AZ13" s="51">
        <v>0</v>
      </c>
      <c r="BA13" s="52">
        <v>0</v>
      </c>
      <c r="BB13" s="57">
        <f t="shared" si="1"/>
        <v>0</v>
      </c>
    </row>
    <row r="14" spans="19:54" s="34" customFormat="1" ht="48" customHeight="1" thickBot="1">
      <c r="S14" s="12">
        <v>12</v>
      </c>
      <c r="T14" s="244"/>
      <c r="U14" s="35"/>
      <c r="V14" s="133"/>
      <c r="W14" s="133"/>
      <c r="X14" s="36"/>
      <c r="Y14" s="36"/>
      <c r="Z14" s="37">
        <f t="shared" si="2"/>
        <v>0</v>
      </c>
      <c r="AA14" s="38"/>
      <c r="AB14" s="39"/>
      <c r="AC14" s="40"/>
      <c r="AD14" s="101"/>
      <c r="AE14" s="41"/>
      <c r="AF14" s="42"/>
      <c r="AG14" s="42"/>
      <c r="AH14" s="42"/>
      <c r="AI14" s="42"/>
      <c r="AJ14" s="43"/>
      <c r="AK14" s="44"/>
      <c r="AL14" s="45"/>
      <c r="AM14" s="45"/>
      <c r="AN14" s="45"/>
      <c r="AO14" s="45"/>
      <c r="AP14" s="45"/>
      <c r="AQ14" s="45"/>
      <c r="AR14" s="46"/>
      <c r="AS14" s="47"/>
      <c r="AT14" s="35"/>
      <c r="AU14" s="35"/>
      <c r="AV14" s="35"/>
      <c r="AW14" s="48"/>
      <c r="AX14" s="49">
        <f t="shared" si="0"/>
        <v>0</v>
      </c>
      <c r="AY14" s="51">
        <v>0</v>
      </c>
      <c r="AZ14" s="52">
        <v>0</v>
      </c>
      <c r="BA14" s="51">
        <v>0</v>
      </c>
      <c r="BB14" s="57">
        <f t="shared" si="1"/>
        <v>0</v>
      </c>
    </row>
    <row r="15" spans="19:54" s="34" customFormat="1" ht="48" customHeight="1" thickBot="1">
      <c r="S15" s="12">
        <v>13</v>
      </c>
      <c r="T15" s="245"/>
      <c r="U15" s="58"/>
      <c r="V15" s="59"/>
      <c r="W15" s="59"/>
      <c r="X15" s="60"/>
      <c r="Y15" s="60"/>
      <c r="Z15" s="61">
        <f t="shared" si="2"/>
        <v>0</v>
      </c>
      <c r="AA15" s="62"/>
      <c r="AB15" s="63"/>
      <c r="AC15" s="148"/>
      <c r="AD15" s="102"/>
      <c r="AE15" s="65"/>
      <c r="AF15" s="66"/>
      <c r="AG15" s="67"/>
      <c r="AH15" s="67"/>
      <c r="AI15" s="67"/>
      <c r="AJ15" s="66"/>
      <c r="AK15" s="68"/>
      <c r="AL15" s="69"/>
      <c r="AM15" s="69"/>
      <c r="AN15" s="69"/>
      <c r="AO15" s="69"/>
      <c r="AP15" s="69"/>
      <c r="AQ15" s="69"/>
      <c r="AR15" s="70"/>
      <c r="AS15" s="71"/>
      <c r="AT15" s="35"/>
      <c r="AU15" s="35"/>
      <c r="AV15" s="35"/>
      <c r="AW15" s="48"/>
      <c r="AX15" s="49">
        <f t="shared" si="0"/>
        <v>0</v>
      </c>
      <c r="AY15" s="50">
        <v>0</v>
      </c>
      <c r="AZ15" s="51">
        <v>0</v>
      </c>
      <c r="BA15" s="52">
        <v>0</v>
      </c>
      <c r="BB15" s="57">
        <f t="shared" si="1"/>
        <v>0</v>
      </c>
    </row>
    <row r="16" spans="19:54" s="72" customFormat="1" ht="50.1" customHeight="1">
      <c r="S16" s="254" t="s">
        <v>42</v>
      </c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5" t="s">
        <v>53</v>
      </c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6" t="s">
        <v>43</v>
      </c>
      <c r="AU16" s="257"/>
      <c r="AV16" s="257"/>
      <c r="AW16" s="257"/>
      <c r="AX16" s="257"/>
      <c r="AY16" s="257"/>
      <c r="AZ16" s="257"/>
      <c r="BA16" s="257"/>
      <c r="BB16" s="258"/>
    </row>
    <row r="17" spans="18:62" s="72" customFormat="1" ht="60" customHeight="1">
      <c r="S17" s="73" t="s">
        <v>15</v>
      </c>
      <c r="T17" s="300" t="s">
        <v>44</v>
      </c>
      <c r="U17" s="301"/>
      <c r="V17" s="302" t="s">
        <v>45</v>
      </c>
      <c r="W17" s="303"/>
      <c r="X17" s="74" t="s">
        <v>46</v>
      </c>
      <c r="Y17" s="75" t="s">
        <v>67</v>
      </c>
      <c r="Z17" s="304" t="s">
        <v>47</v>
      </c>
      <c r="AA17" s="304"/>
      <c r="AB17" s="304"/>
      <c r="AC17" s="304"/>
      <c r="AD17" s="304"/>
      <c r="AE17" s="304"/>
      <c r="AF17" s="304"/>
      <c r="AG17" s="305" t="s">
        <v>48</v>
      </c>
      <c r="AH17" s="306"/>
      <c r="AI17" s="307" t="s">
        <v>49</v>
      </c>
      <c r="AJ17" s="307"/>
      <c r="AK17" s="92"/>
      <c r="AL17" s="308" t="s">
        <v>68</v>
      </c>
      <c r="AM17" s="309"/>
      <c r="AN17" s="310"/>
      <c r="AO17" s="288" t="s">
        <v>50</v>
      </c>
      <c r="AP17" s="289"/>
      <c r="AQ17" s="289"/>
      <c r="AR17" s="289"/>
      <c r="AS17" s="289"/>
      <c r="AT17" s="76" t="s">
        <v>51</v>
      </c>
      <c r="AU17" s="290" t="s">
        <v>33</v>
      </c>
      <c r="AV17" s="291"/>
      <c r="AW17" s="77" t="s">
        <v>34</v>
      </c>
      <c r="AX17" s="77" t="s">
        <v>66</v>
      </c>
      <c r="AY17" s="77" t="s">
        <v>35</v>
      </c>
      <c r="AZ17" s="77" t="s">
        <v>36</v>
      </c>
      <c r="BA17" s="292" t="s">
        <v>52</v>
      </c>
      <c r="BB17" s="293"/>
    </row>
    <row r="18" spans="18:62" ht="60.75" customHeight="1">
      <c r="S18" s="78">
        <v>1</v>
      </c>
      <c r="T18" s="294"/>
      <c r="U18" s="295"/>
      <c r="V18" s="280"/>
      <c r="W18" s="281"/>
      <c r="X18" s="79" t="str">
        <f>TEXT(MOD(V18-T18,1),"h:mm")</f>
        <v>0:00</v>
      </c>
      <c r="Y18" s="139"/>
      <c r="Z18" s="395"/>
      <c r="AA18" s="282"/>
      <c r="AB18" s="282"/>
      <c r="AC18" s="282"/>
      <c r="AD18" s="282"/>
      <c r="AE18" s="282"/>
      <c r="AF18" s="282"/>
      <c r="AG18" s="296">
        <f>SUM(AX7:AX9)</f>
        <v>0</v>
      </c>
      <c r="AH18" s="297"/>
      <c r="AI18" s="298">
        <f>SUM(AX10:AX12)</f>
        <v>0</v>
      </c>
      <c r="AJ18" s="298"/>
      <c r="AK18" s="93"/>
      <c r="AL18" s="298">
        <f>SUM(AX13:AX15)</f>
        <v>0</v>
      </c>
      <c r="AM18" s="298"/>
      <c r="AN18" s="298"/>
      <c r="AO18" s="299">
        <f>SUM(AG18:AN18)</f>
        <v>0</v>
      </c>
      <c r="AP18" s="299"/>
      <c r="AQ18" s="299"/>
      <c r="AR18" s="299"/>
      <c r="AS18" s="299"/>
      <c r="AT18" s="81" t="s">
        <v>1</v>
      </c>
      <c r="AU18" s="276">
        <f>SUM(AS7:AS9)</f>
        <v>0</v>
      </c>
      <c r="AV18" s="277"/>
      <c r="AW18" s="82">
        <f>SUM(AT7:AT9)</f>
        <v>0</v>
      </c>
      <c r="AX18" s="82">
        <f>SUM(AV7:AV9)</f>
        <v>0</v>
      </c>
      <c r="AY18" s="82">
        <f>SUM(AU7:AU9)</f>
        <v>0</v>
      </c>
      <c r="AZ18" s="82">
        <f>SUM(AW7:AW9)</f>
        <v>0</v>
      </c>
      <c r="BA18" s="276">
        <f>SUM(AU18:AZ18)</f>
        <v>0</v>
      </c>
      <c r="BB18" s="277"/>
    </row>
    <row r="19" spans="18:62" ht="60.75" customHeight="1">
      <c r="S19" s="78">
        <v>2</v>
      </c>
      <c r="T19" s="278"/>
      <c r="U19" s="279"/>
      <c r="V19" s="280"/>
      <c r="W19" s="281"/>
      <c r="X19" s="79" t="str">
        <f>TEXT(MOD(V19-T19,1),"h:mm")</f>
        <v>0:00</v>
      </c>
      <c r="Y19" s="80"/>
      <c r="Z19" s="282"/>
      <c r="AA19" s="282"/>
      <c r="AB19" s="282"/>
      <c r="AC19" s="282"/>
      <c r="AD19" s="282"/>
      <c r="AE19" s="282"/>
      <c r="AF19" s="282"/>
      <c r="AG19" s="283" t="s">
        <v>41</v>
      </c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5"/>
      <c r="AT19" s="83" t="s">
        <v>5</v>
      </c>
      <c r="AU19" s="286">
        <f>SUM(AS10:AS12)</f>
        <v>0</v>
      </c>
      <c r="AV19" s="287"/>
      <c r="AW19" s="84">
        <f>SUM(AT10:AT12)</f>
        <v>0</v>
      </c>
      <c r="AX19" s="84">
        <f>SUM(AV10:AV12)</f>
        <v>0</v>
      </c>
      <c r="AY19" s="84">
        <f>SUM(AU10:AU12)</f>
        <v>0</v>
      </c>
      <c r="AZ19" s="84">
        <f>SUM(AW10:AW12)</f>
        <v>0</v>
      </c>
      <c r="BA19" s="286">
        <f>SUM(AU19:AZ19)</f>
        <v>0</v>
      </c>
      <c r="BB19" s="287"/>
    </row>
    <row r="20" spans="18:62" ht="60.75" customHeight="1">
      <c r="S20" s="78">
        <v>3</v>
      </c>
      <c r="T20" s="278"/>
      <c r="U20" s="279"/>
      <c r="V20" s="280"/>
      <c r="W20" s="281"/>
      <c r="X20" s="79" t="str">
        <f>TEXT(MOD(V20-T20,1),"h:mm")</f>
        <v>0:00</v>
      </c>
      <c r="Y20" s="80"/>
      <c r="Z20" s="327"/>
      <c r="AA20" s="327"/>
      <c r="AB20" s="327"/>
      <c r="AC20" s="327"/>
      <c r="AD20" s="327"/>
      <c r="AE20" s="327"/>
      <c r="AF20" s="327"/>
      <c r="AG20" s="311">
        <f>SUM(BB7:BB9)</f>
        <v>0</v>
      </c>
      <c r="AH20" s="328"/>
      <c r="AI20" s="311">
        <f>SUM(BB10:BB12)</f>
        <v>0</v>
      </c>
      <c r="AJ20" s="328"/>
      <c r="AK20" s="94"/>
      <c r="AL20" s="311">
        <f>SUM(BB13:BB15)</f>
        <v>0</v>
      </c>
      <c r="AM20" s="329"/>
      <c r="AN20" s="328"/>
      <c r="AO20" s="311">
        <f>SUM(AG20:AN20)</f>
        <v>0</v>
      </c>
      <c r="AP20" s="312"/>
      <c r="AQ20" s="312"/>
      <c r="AR20" s="312"/>
      <c r="AS20" s="313"/>
      <c r="AT20" s="91" t="s">
        <v>65</v>
      </c>
      <c r="AU20" s="314">
        <f>SUM(AS13:AS15)</f>
        <v>0</v>
      </c>
      <c r="AV20" s="315"/>
      <c r="AW20" s="99">
        <f>SUM(AT13:AT15)</f>
        <v>0</v>
      </c>
      <c r="AX20" s="99">
        <f>SUM(AV13:AV15)</f>
        <v>0</v>
      </c>
      <c r="AY20" s="99">
        <f>SUM(AU13:AU15)</f>
        <v>0</v>
      </c>
      <c r="AZ20" s="99">
        <f>SUM(AW13:AW15)</f>
        <v>0</v>
      </c>
      <c r="BA20" s="316">
        <f>SUM(AU20:AZ20)</f>
        <v>0</v>
      </c>
      <c r="BB20" s="317"/>
    </row>
    <row r="21" spans="18:62" ht="60.75" customHeight="1">
      <c r="S21" s="78">
        <v>4</v>
      </c>
      <c r="T21" s="278"/>
      <c r="U21" s="279"/>
      <c r="V21" s="280"/>
      <c r="W21" s="281"/>
      <c r="X21" s="79" t="str">
        <f>TEXT(MOD(V21-T21,1),"h:mm")</f>
        <v>0:00</v>
      </c>
      <c r="Y21" s="80"/>
      <c r="Z21" s="318"/>
      <c r="AA21" s="318"/>
      <c r="AB21" s="318"/>
      <c r="AC21" s="318"/>
      <c r="AD21" s="318"/>
      <c r="AE21" s="318"/>
      <c r="AF21" s="318"/>
      <c r="AG21" s="319" t="s">
        <v>54</v>
      </c>
      <c r="AH21" s="320"/>
      <c r="AI21" s="320"/>
      <c r="AJ21" s="320"/>
      <c r="AK21" s="320"/>
      <c r="AL21" s="320"/>
      <c r="AM21" s="320"/>
      <c r="AN21" s="320"/>
      <c r="AO21" s="320"/>
      <c r="AP21" s="320"/>
      <c r="AQ21" s="320"/>
      <c r="AR21" s="320"/>
      <c r="AS21" s="321"/>
      <c r="AT21" s="322" t="s">
        <v>55</v>
      </c>
      <c r="AU21" s="323"/>
      <c r="AV21" s="324"/>
      <c r="AW21" s="325">
        <v>1680</v>
      </c>
      <c r="AX21" s="326"/>
      <c r="AY21" s="322" t="s">
        <v>56</v>
      </c>
      <c r="AZ21" s="324"/>
      <c r="BA21" s="330">
        <v>1628</v>
      </c>
      <c r="BB21" s="331"/>
    </row>
    <row r="22" spans="18:62" ht="54" customHeight="1">
      <c r="S22" s="78">
        <v>5</v>
      </c>
      <c r="T22" s="278"/>
      <c r="U22" s="279"/>
      <c r="V22" s="280"/>
      <c r="W22" s="281"/>
      <c r="X22" s="79" t="str">
        <f>TEXT(MOD(V22-T22,1),"h:mm")</f>
        <v>0:00</v>
      </c>
      <c r="Y22" s="80"/>
      <c r="Z22" s="318"/>
      <c r="AA22" s="318"/>
      <c r="AB22" s="318"/>
      <c r="AC22" s="318"/>
      <c r="AD22" s="318"/>
      <c r="AE22" s="318"/>
      <c r="AF22" s="318"/>
      <c r="AG22" s="357">
        <f>SUM(AY7:BA9)</f>
        <v>0</v>
      </c>
      <c r="AH22" s="357"/>
      <c r="AI22" s="298">
        <f>SUM(AY10:BA12)</f>
        <v>0</v>
      </c>
      <c r="AJ22" s="298"/>
      <c r="AK22" s="95"/>
      <c r="AL22" s="358">
        <f>SUM(AY13:BA15)</f>
        <v>0</v>
      </c>
      <c r="AM22" s="358"/>
      <c r="AN22" s="359"/>
      <c r="AO22" s="360">
        <f>SUM(AG22:AN22)</f>
        <v>0</v>
      </c>
      <c r="AP22" s="361"/>
      <c r="AQ22" s="361"/>
      <c r="AR22" s="361"/>
      <c r="AS22" s="362"/>
      <c r="AT22" s="98" t="s">
        <v>69</v>
      </c>
      <c r="AU22" s="363" t="s">
        <v>48</v>
      </c>
      <c r="AV22" s="364"/>
      <c r="AW22" s="365" t="s">
        <v>49</v>
      </c>
      <c r="AX22" s="366"/>
      <c r="AY22" s="332" t="s">
        <v>68</v>
      </c>
      <c r="AZ22" s="333"/>
      <c r="BA22" s="334" t="s">
        <v>57</v>
      </c>
      <c r="BB22" s="335"/>
    </row>
    <row r="23" spans="18:62" ht="59.25" customHeight="1">
      <c r="S23" s="336" t="s">
        <v>61</v>
      </c>
      <c r="T23" s="337"/>
      <c r="U23" s="337"/>
      <c r="V23" s="337"/>
      <c r="W23" s="338"/>
      <c r="X23" s="85">
        <f>SUM(X18+X19+X20+X21+X22)</f>
        <v>0</v>
      </c>
      <c r="Y23" s="134" t="s">
        <v>62</v>
      </c>
      <c r="Z23" s="86"/>
      <c r="AA23" s="87"/>
      <c r="AB23" s="87"/>
      <c r="AC23" s="339" t="s">
        <v>63</v>
      </c>
      <c r="AD23" s="339"/>
      <c r="AE23" s="340"/>
      <c r="AF23" s="341"/>
      <c r="AG23" s="342" t="s">
        <v>22</v>
      </c>
      <c r="AH23" s="343"/>
      <c r="AI23" s="344"/>
      <c r="AJ23" s="345" t="s">
        <v>48</v>
      </c>
      <c r="AK23" s="346"/>
      <c r="AL23" s="346"/>
      <c r="AM23" s="347"/>
      <c r="AN23" s="348" t="s">
        <v>49</v>
      </c>
      <c r="AO23" s="348"/>
      <c r="AP23" s="348"/>
      <c r="AQ23" s="349" t="s">
        <v>68</v>
      </c>
      <c r="AR23" s="350"/>
      <c r="AS23" s="351"/>
      <c r="AT23" s="96" t="s">
        <v>60</v>
      </c>
      <c r="AU23" s="352">
        <f>SUM(AQ7:AQ9)</f>
        <v>0</v>
      </c>
      <c r="AV23" s="353"/>
      <c r="AW23" s="352">
        <f>SUM(AQ10:AQ12)</f>
        <v>0</v>
      </c>
      <c r="AX23" s="354"/>
      <c r="AY23" s="352">
        <f>SUM(AQ13:AQ15)</f>
        <v>0</v>
      </c>
      <c r="AZ23" s="353"/>
      <c r="BA23" s="355">
        <f>SUM(AU23:AZ23)</f>
        <v>0</v>
      </c>
      <c r="BB23" s="356"/>
    </row>
    <row r="24" spans="18:62" ht="57" customHeight="1">
      <c r="S24" s="367"/>
      <c r="T24" s="368"/>
      <c r="U24" s="368"/>
      <c r="V24" s="368"/>
      <c r="W24" s="369"/>
      <c r="X24" s="373" t="s">
        <v>73</v>
      </c>
      <c r="Y24" s="104" t="s">
        <v>70</v>
      </c>
      <c r="Z24" s="105" t="s">
        <v>71</v>
      </c>
      <c r="AA24" s="103"/>
      <c r="AB24" s="103"/>
      <c r="AC24" s="375" t="s">
        <v>72</v>
      </c>
      <c r="AD24" s="376"/>
      <c r="AE24" s="377" t="s">
        <v>57</v>
      </c>
      <c r="AF24" s="378"/>
      <c r="AG24" s="379" t="s">
        <v>58</v>
      </c>
      <c r="AH24" s="380"/>
      <c r="AI24" s="381"/>
      <c r="AJ24" s="382">
        <f>AVERAGE(Z7:Z8)</f>
        <v>0</v>
      </c>
      <c r="AK24" s="383"/>
      <c r="AL24" s="383"/>
      <c r="AM24" s="383"/>
      <c r="AN24" s="382">
        <f>AVERAGE(Z10:Z11)</f>
        <v>0</v>
      </c>
      <c r="AO24" s="383"/>
      <c r="AP24" s="383"/>
      <c r="AQ24" s="382">
        <f>AVERAGE(Z13:Z14)</f>
        <v>0</v>
      </c>
      <c r="AR24" s="383"/>
      <c r="AS24" s="383"/>
      <c r="AT24" s="97" t="s">
        <v>64</v>
      </c>
      <c r="AU24" s="387">
        <f>SUM(AL7:AP9)</f>
        <v>0</v>
      </c>
      <c r="AV24" s="388"/>
      <c r="AW24" s="387">
        <f>SUM(AL10:AP12)</f>
        <v>0</v>
      </c>
      <c r="AX24" s="388"/>
      <c r="AY24" s="387">
        <f>SUM(AL13:AP15)</f>
        <v>0</v>
      </c>
      <c r="AZ24" s="388"/>
      <c r="BA24" s="389">
        <f>SUM(AU24:AZ24)</f>
        <v>0</v>
      </c>
      <c r="BB24" s="390"/>
    </row>
    <row r="25" spans="18:62" ht="52.5" customHeight="1">
      <c r="S25" s="370"/>
      <c r="T25" s="371"/>
      <c r="U25" s="371"/>
      <c r="V25" s="371"/>
      <c r="W25" s="372"/>
      <c r="X25" s="374"/>
      <c r="Y25" s="106">
        <f>SUM(AD7:AD9)</f>
        <v>0</v>
      </c>
      <c r="Z25" s="106">
        <f>SUM(AD10:AD12)</f>
        <v>0</v>
      </c>
      <c r="AA25" s="107"/>
      <c r="AB25" s="107"/>
      <c r="AC25" s="391">
        <f>SUM(AD13:AD15)</f>
        <v>0</v>
      </c>
      <c r="AD25" s="392"/>
      <c r="AE25" s="393">
        <f>SUM(Y25:AD25)</f>
        <v>0</v>
      </c>
      <c r="AF25" s="394"/>
      <c r="AG25" s="379" t="s">
        <v>59</v>
      </c>
      <c r="AH25" s="380"/>
      <c r="AI25" s="381"/>
      <c r="AJ25" s="382">
        <f>SUM(Z7:Z9)</f>
        <v>0</v>
      </c>
      <c r="AK25" s="383"/>
      <c r="AL25" s="383"/>
      <c r="AM25" s="383"/>
      <c r="AN25" s="382">
        <f>SUM(Z10:Z12)</f>
        <v>0</v>
      </c>
      <c r="AO25" s="383"/>
      <c r="AP25" s="383"/>
      <c r="AQ25" s="382">
        <f>SUM(Z13:Z15)</f>
        <v>0</v>
      </c>
      <c r="AR25" s="383"/>
      <c r="AS25" s="383"/>
      <c r="AT25" s="384"/>
      <c r="AU25" s="385"/>
      <c r="AV25" s="385"/>
      <c r="AW25" s="385"/>
      <c r="AX25" s="385"/>
      <c r="AY25" s="385"/>
      <c r="AZ25" s="385"/>
      <c r="BA25" s="385"/>
      <c r="BB25" s="386"/>
    </row>
    <row r="26" spans="18:62" ht="60.75" customHeight="1"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8:62" ht="30" customHeight="1"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8:62" ht="30" customHeight="1"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T28" s="4"/>
      <c r="AU28" s="4"/>
      <c r="AV28" s="4"/>
      <c r="AW28" s="4"/>
      <c r="AX28" s="4"/>
      <c r="AY28" s="4"/>
      <c r="AZ28" s="4"/>
      <c r="BA28" s="4"/>
    </row>
    <row r="29" spans="18:62" ht="30" customHeight="1"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T29" s="4"/>
      <c r="AU29" s="4"/>
      <c r="AV29" s="4"/>
      <c r="AW29" s="4"/>
      <c r="AX29" s="4"/>
      <c r="AY29" s="4"/>
      <c r="AZ29" s="4"/>
      <c r="BA29" s="4"/>
    </row>
    <row r="30" spans="18:62" ht="30" customHeight="1">
      <c r="R30" s="3"/>
      <c r="S30" s="3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T30" s="4"/>
      <c r="AU30" s="4"/>
      <c r="AV30" s="4"/>
      <c r="AW30" s="4"/>
      <c r="AX30" s="4"/>
      <c r="AY30" s="4"/>
      <c r="AZ30" s="4"/>
      <c r="BA30" s="4"/>
    </row>
    <row r="31" spans="18:62" ht="30" customHeight="1">
      <c r="R31" s="3"/>
      <c r="S31" s="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T31" s="4"/>
      <c r="AU31" s="4"/>
      <c r="AV31" s="4"/>
      <c r="AW31" s="4"/>
      <c r="AX31" s="4"/>
      <c r="AY31" s="4"/>
      <c r="AZ31" s="4"/>
      <c r="BA31" s="4"/>
    </row>
    <row r="32" spans="18:62" ht="15" customHeight="1">
      <c r="S32" s="3"/>
      <c r="BJ32" s="4">
        <v>8</v>
      </c>
    </row>
  </sheetData>
  <mergeCells count="145">
    <mergeCell ref="S24:W25"/>
    <mergeCell ref="X24:X25"/>
    <mergeCell ref="AC24:AD24"/>
    <mergeCell ref="AE24:AF24"/>
    <mergeCell ref="AG24:AI24"/>
    <mergeCell ref="AJ24:AM24"/>
    <mergeCell ref="AN24:AP24"/>
    <mergeCell ref="AQ25:AS25"/>
    <mergeCell ref="AT25:BB25"/>
    <mergeCell ref="AQ24:AS24"/>
    <mergeCell ref="AU24:AV24"/>
    <mergeCell ref="AW24:AX24"/>
    <mergeCell ref="AY24:AZ24"/>
    <mergeCell ref="BA24:BB24"/>
    <mergeCell ref="AC25:AD25"/>
    <mergeCell ref="AE25:AF25"/>
    <mergeCell ref="AG25:AI25"/>
    <mergeCell ref="AJ25:AM25"/>
    <mergeCell ref="AN25:AP25"/>
    <mergeCell ref="AY22:AZ22"/>
    <mergeCell ref="BA22:BB22"/>
    <mergeCell ref="S23:W23"/>
    <mergeCell ref="AC23:AD23"/>
    <mergeCell ref="AE23:AF23"/>
    <mergeCell ref="AG23:AI23"/>
    <mergeCell ref="AJ23:AM23"/>
    <mergeCell ref="AN23:AP23"/>
    <mergeCell ref="AQ23:AS23"/>
    <mergeCell ref="AU23:AV23"/>
    <mergeCell ref="AW23:AX23"/>
    <mergeCell ref="AY23:AZ23"/>
    <mergeCell ref="BA23:BB23"/>
    <mergeCell ref="T22:U22"/>
    <mergeCell ref="V22:W22"/>
    <mergeCell ref="Z22:AF22"/>
    <mergeCell ref="AG22:AH22"/>
    <mergeCell ref="AI22:AJ22"/>
    <mergeCell ref="AL22:AN22"/>
    <mergeCell ref="AO22:AS22"/>
    <mergeCell ref="AU22:AV22"/>
    <mergeCell ref="AW22:AX22"/>
    <mergeCell ref="AO20:AS20"/>
    <mergeCell ref="AU20:AV20"/>
    <mergeCell ref="BA20:BB20"/>
    <mergeCell ref="T21:U21"/>
    <mergeCell ref="V21:W21"/>
    <mergeCell ref="Z21:AF21"/>
    <mergeCell ref="AG21:AS21"/>
    <mergeCell ref="AT21:AV21"/>
    <mergeCell ref="AW21:AX21"/>
    <mergeCell ref="AY21:AZ21"/>
    <mergeCell ref="T20:U20"/>
    <mergeCell ref="V20:W20"/>
    <mergeCell ref="Z20:AF20"/>
    <mergeCell ref="AG20:AH20"/>
    <mergeCell ref="AI20:AJ20"/>
    <mergeCell ref="AL20:AN20"/>
    <mergeCell ref="BA21:BB21"/>
    <mergeCell ref="AU18:AV18"/>
    <mergeCell ref="BA18:BB18"/>
    <mergeCell ref="T19:U19"/>
    <mergeCell ref="V19:W19"/>
    <mergeCell ref="Z19:AF19"/>
    <mergeCell ref="AG19:AS19"/>
    <mergeCell ref="AU19:AV19"/>
    <mergeCell ref="BA19:BB19"/>
    <mergeCell ref="AO17:AS17"/>
    <mergeCell ref="AU17:AV17"/>
    <mergeCell ref="BA17:BB17"/>
    <mergeCell ref="T18:U18"/>
    <mergeCell ref="V18:W18"/>
    <mergeCell ref="Z18:AF18"/>
    <mergeCell ref="AG18:AH18"/>
    <mergeCell ref="AI18:AJ18"/>
    <mergeCell ref="AL18:AN18"/>
    <mergeCell ref="AO18:AS18"/>
    <mergeCell ref="T17:U17"/>
    <mergeCell ref="V17:W17"/>
    <mergeCell ref="Z17:AF17"/>
    <mergeCell ref="AG17:AH17"/>
    <mergeCell ref="AI17:AJ17"/>
    <mergeCell ref="AL17:AN17"/>
    <mergeCell ref="S16:AF16"/>
    <mergeCell ref="AG16:AS16"/>
    <mergeCell ref="AT16:BB16"/>
    <mergeCell ref="AU5:AU6"/>
    <mergeCell ref="AV5:AV6"/>
    <mergeCell ref="AW5:AW6"/>
    <mergeCell ref="AX5:AX6"/>
    <mergeCell ref="AY5:AY6"/>
    <mergeCell ref="AZ5:AZ6"/>
    <mergeCell ref="AH5:AH6"/>
    <mergeCell ref="AI5:AI6"/>
    <mergeCell ref="AJ5:AJ6"/>
    <mergeCell ref="AK5:AR5"/>
    <mergeCell ref="AS5:AS6"/>
    <mergeCell ref="AT5:AT6"/>
    <mergeCell ref="AB5:AB6"/>
    <mergeCell ref="AC5:AC6"/>
    <mergeCell ref="AD5:AD6"/>
    <mergeCell ref="AE5:AE6"/>
    <mergeCell ref="S4:Z4"/>
    <mergeCell ref="AA4:AB4"/>
    <mergeCell ref="AC4:AD4"/>
    <mergeCell ref="AE4:AJ4"/>
    <mergeCell ref="AL4:AQ4"/>
    <mergeCell ref="AS4:AW4"/>
    <mergeCell ref="T7:T9"/>
    <mergeCell ref="T10:T12"/>
    <mergeCell ref="T13:T15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Q1:AT1"/>
    <mergeCell ref="AU1:AW1"/>
    <mergeCell ref="AF5:AF6"/>
    <mergeCell ref="AG5:AG6"/>
    <mergeCell ref="AX1:BB3"/>
    <mergeCell ref="AC2:AE2"/>
    <mergeCell ref="AF2:AH2"/>
    <mergeCell ref="AI2:AL2"/>
    <mergeCell ref="AM2:AP2"/>
    <mergeCell ref="AQ2:AT2"/>
    <mergeCell ref="AU2:AW2"/>
    <mergeCell ref="AC3:AE3"/>
    <mergeCell ref="AQ3:AT3"/>
    <mergeCell ref="AU3:AW3"/>
    <mergeCell ref="AX4:BB4"/>
    <mergeCell ref="BA5:BA6"/>
    <mergeCell ref="BB5:BB6"/>
    <mergeCell ref="S1:W3"/>
    <mergeCell ref="X1:Y3"/>
    <mergeCell ref="AC1:AE1"/>
    <mergeCell ref="AF1:AH1"/>
    <mergeCell ref="AI1:AL1"/>
    <mergeCell ref="AM1:AP1"/>
    <mergeCell ref="AF3:AH3"/>
    <mergeCell ref="AI3:AL3"/>
    <mergeCell ref="AM3:AP3"/>
  </mergeCells>
  <conditionalFormatting sqref="Z7:Z15">
    <cfRule type="cellIs" dxfId="259" priority="3" operator="greaterThan">
      <formula>0.167361111111111</formula>
    </cfRule>
    <cfRule type="cellIs" dxfId="258" priority="4" operator="greaterThan">
      <formula>0.15625</formula>
    </cfRule>
  </conditionalFormatting>
  <conditionalFormatting sqref="AA7:AJ15">
    <cfRule type="cellIs" dxfId="257" priority="11" operator="between">
      <formula>1700</formula>
      <formula>1710</formula>
    </cfRule>
    <cfRule type="cellIs" dxfId="256" priority="12" operator="between">
      <formula>1691</formula>
      <formula>1700</formula>
    </cfRule>
  </conditionalFormatting>
  <conditionalFormatting sqref="AS7:AS15">
    <cfRule type="expression" dxfId="255" priority="13">
      <formula>IF(($AS7/$AX7)*1000&gt;$AY$1,1,0)</formula>
    </cfRule>
  </conditionalFormatting>
  <conditionalFormatting sqref="AT7:AW15">
    <cfRule type="cellIs" dxfId="254" priority="5" operator="greaterThan">
      <formula>10</formula>
    </cfRule>
  </conditionalFormatting>
  <conditionalFormatting sqref="AX7:AX15">
    <cfRule type="cellIs" dxfId="253" priority="2" operator="between">
      <formula>16000</formula>
      <formula>17200</formula>
    </cfRule>
    <cfRule type="cellIs" dxfId="252" priority="6" operator="lessThan">
      <formula>15800</formula>
    </cfRule>
    <cfRule type="cellIs" dxfId="251" priority="7" operator="greaterThan">
      <formula>18000</formula>
    </cfRule>
  </conditionalFormatting>
  <conditionalFormatting sqref="AZ7:BA15">
    <cfRule type="cellIs" dxfId="250" priority="10" operator="greaterThan">
      <formula>0</formula>
    </cfRule>
  </conditionalFormatting>
  <conditionalFormatting sqref="BB7:BB15">
    <cfRule type="cellIs" dxfId="249" priority="1" operator="between">
      <formula>16000</formula>
      <formula>17200</formula>
    </cfRule>
    <cfRule type="cellIs" dxfId="248" priority="8" operator="greaterThan">
      <formula>18000</formula>
    </cfRule>
    <cfRule type="cellIs" dxfId="247" priority="9" operator="lessThan">
      <formula>15800</formula>
    </cfRule>
  </conditionalFormatting>
  <printOptions horizontalCentered="1" verticalCentered="1"/>
  <pageMargins left="0" right="0" top="0" bottom="0.21" header="0" footer="0"/>
  <pageSetup paperSize="9" scale="42" orientation="landscape" cellComments="asDisplayed" r:id="rId1"/>
  <headerFooter differentFirst="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D649C-0ABE-4BEC-B20A-1C42A1F160BF}">
  <sheetPr>
    <tabColor theme="5"/>
    <pageSetUpPr fitToPage="1"/>
  </sheetPr>
  <dimension ref="R1:BJ32"/>
  <sheetViews>
    <sheetView showGridLines="0" rightToLeft="1" topLeftCell="L1" zoomScale="55" zoomScaleNormal="55" zoomScalePageLayoutView="40" workbookViewId="0">
      <selection activeCell="AP8" sqref="AP8"/>
    </sheetView>
  </sheetViews>
  <sheetFormatPr defaultColWidth="9.140625" defaultRowHeight="15"/>
  <cols>
    <col min="1" max="18" width="9.140625" style="4"/>
    <col min="19" max="19" width="5.7109375" style="4" customWidth="1"/>
    <col min="20" max="20" width="9.5703125" style="3" customWidth="1"/>
    <col min="21" max="21" width="10.7109375" style="3" customWidth="1"/>
    <col min="22" max="22" width="9.42578125" style="88" customWidth="1"/>
    <col min="23" max="23" width="8.85546875" style="88" customWidth="1"/>
    <col min="24" max="24" width="14.42578125" style="3" customWidth="1"/>
    <col min="25" max="25" width="14.7109375" style="3" customWidth="1"/>
    <col min="26" max="26" width="15.140625" style="88" customWidth="1"/>
    <col min="27" max="27" width="9.5703125" style="3" hidden="1" customWidth="1"/>
    <col min="28" max="28" width="10" style="3" hidden="1" customWidth="1"/>
    <col min="29" max="29" width="8.140625" style="3" customWidth="1"/>
    <col min="30" max="30" width="8.5703125" style="3" customWidth="1"/>
    <col min="31" max="31" width="12.42578125" style="3" customWidth="1"/>
    <col min="32" max="32" width="10.5703125" style="3" customWidth="1"/>
    <col min="33" max="33" width="9.5703125" style="3" customWidth="1"/>
    <col min="34" max="34" width="11.42578125" style="3" customWidth="1"/>
    <col min="35" max="35" width="9.42578125" style="3" customWidth="1"/>
    <col min="36" max="36" width="9.28515625" style="3" customWidth="1"/>
    <col min="37" max="37" width="6.7109375" style="3" hidden="1" customWidth="1"/>
    <col min="38" max="42" width="6.7109375" style="3" customWidth="1"/>
    <col min="43" max="43" width="8.140625" style="3" customWidth="1"/>
    <col min="44" max="44" width="6.7109375" style="3" hidden="1" customWidth="1"/>
    <col min="45" max="45" width="10.42578125" style="3" customWidth="1"/>
    <col min="46" max="46" width="8.7109375" style="3" customWidth="1"/>
    <col min="47" max="47" width="8.5703125" style="3" customWidth="1"/>
    <col min="48" max="48" width="8.7109375" style="3" customWidth="1"/>
    <col min="49" max="49" width="9.5703125" style="3" customWidth="1"/>
    <col min="50" max="50" width="12.42578125" style="88" customWidth="1"/>
    <col min="51" max="51" width="11.85546875" style="3" customWidth="1"/>
    <col min="52" max="52" width="11.5703125" style="3" customWidth="1"/>
    <col min="53" max="53" width="13.42578125" style="3" customWidth="1"/>
    <col min="54" max="54" width="13.5703125" style="4" customWidth="1"/>
    <col min="55" max="57" width="9.140625" style="4"/>
    <col min="58" max="58" width="25" style="4" customWidth="1"/>
    <col min="59" max="61" width="9.140625" style="4"/>
    <col min="62" max="62" width="23.5703125" style="4" customWidth="1"/>
    <col min="63" max="16384" width="9.140625" style="4"/>
  </cols>
  <sheetData>
    <row r="1" spans="19:54" ht="36.75" customHeight="1" thickBot="1">
      <c r="S1" s="180"/>
      <c r="T1" s="181"/>
      <c r="U1" s="181"/>
      <c r="V1" s="181"/>
      <c r="W1" s="181"/>
      <c r="X1" s="182" t="s">
        <v>0</v>
      </c>
      <c r="Y1" s="183"/>
      <c r="Z1" s="1" t="s">
        <v>1</v>
      </c>
      <c r="AA1" s="2"/>
      <c r="AC1" s="188" t="s">
        <v>2</v>
      </c>
      <c r="AD1" s="189"/>
      <c r="AE1" s="189"/>
      <c r="AF1" s="190" t="s">
        <v>75</v>
      </c>
      <c r="AG1" s="191"/>
      <c r="AH1" s="192"/>
      <c r="AI1" s="193" t="s">
        <v>3</v>
      </c>
      <c r="AJ1" s="194"/>
      <c r="AK1" s="194"/>
      <c r="AL1" s="195"/>
      <c r="AM1" s="196" t="s">
        <v>76</v>
      </c>
      <c r="AN1" s="197"/>
      <c r="AO1" s="197"/>
      <c r="AP1" s="198"/>
      <c r="AQ1" s="203" t="s">
        <v>4</v>
      </c>
      <c r="AR1" s="204"/>
      <c r="AS1" s="204"/>
      <c r="AT1" s="205"/>
      <c r="AU1" s="206" t="s">
        <v>74</v>
      </c>
      <c r="AV1" s="207"/>
      <c r="AW1" s="208"/>
      <c r="AX1" s="211" t="s">
        <v>111</v>
      </c>
      <c r="AY1" s="211"/>
      <c r="AZ1" s="211"/>
      <c r="BA1" s="211"/>
      <c r="BB1" s="211"/>
    </row>
    <row r="2" spans="19:54" ht="36.75" customHeight="1" thickBot="1">
      <c r="S2" s="180"/>
      <c r="T2" s="181"/>
      <c r="U2" s="181"/>
      <c r="V2" s="181"/>
      <c r="W2" s="181"/>
      <c r="X2" s="184"/>
      <c r="Y2" s="185"/>
      <c r="Z2" s="5" t="s">
        <v>5</v>
      </c>
      <c r="AA2" s="89"/>
      <c r="AC2" s="188" t="s">
        <v>2</v>
      </c>
      <c r="AD2" s="189"/>
      <c r="AE2" s="212"/>
      <c r="AF2" s="190" t="s">
        <v>78</v>
      </c>
      <c r="AG2" s="191"/>
      <c r="AH2" s="192"/>
      <c r="AI2" s="193" t="s">
        <v>3</v>
      </c>
      <c r="AJ2" s="194"/>
      <c r="AK2" s="194"/>
      <c r="AL2" s="195"/>
      <c r="AM2" s="202" t="s">
        <v>79</v>
      </c>
      <c r="AN2" s="202"/>
      <c r="AO2" s="202"/>
      <c r="AP2" s="202"/>
      <c r="AQ2" s="203" t="s">
        <v>4</v>
      </c>
      <c r="AR2" s="204"/>
      <c r="AS2" s="204"/>
      <c r="AT2" s="205"/>
      <c r="AU2" s="213" t="s">
        <v>77</v>
      </c>
      <c r="AV2" s="213"/>
      <c r="AW2" s="213"/>
      <c r="AX2" s="211"/>
      <c r="AY2" s="211"/>
      <c r="AZ2" s="211"/>
      <c r="BA2" s="211"/>
      <c r="BB2" s="211"/>
    </row>
    <row r="3" spans="19:54" ht="38.25" customHeight="1" thickBot="1">
      <c r="S3" s="181"/>
      <c r="T3" s="181"/>
      <c r="U3" s="181"/>
      <c r="V3" s="181"/>
      <c r="W3" s="181"/>
      <c r="X3" s="186"/>
      <c r="Y3" s="187"/>
      <c r="Z3" s="90" t="s">
        <v>65</v>
      </c>
      <c r="AA3" s="6"/>
      <c r="AC3" s="188" t="s">
        <v>6</v>
      </c>
      <c r="AD3" s="189"/>
      <c r="AE3" s="212"/>
      <c r="AF3" s="190" t="s">
        <v>81</v>
      </c>
      <c r="AG3" s="191"/>
      <c r="AH3" s="192"/>
      <c r="AI3" s="199" t="s">
        <v>7</v>
      </c>
      <c r="AJ3" s="200"/>
      <c r="AK3" s="200"/>
      <c r="AL3" s="201"/>
      <c r="AM3" s="202" t="s">
        <v>82</v>
      </c>
      <c r="AN3" s="202"/>
      <c r="AO3" s="202"/>
      <c r="AP3" s="202"/>
      <c r="AQ3" s="203" t="s">
        <v>4</v>
      </c>
      <c r="AR3" s="204"/>
      <c r="AS3" s="204"/>
      <c r="AT3" s="214"/>
      <c r="AU3" s="215" t="s">
        <v>80</v>
      </c>
      <c r="AV3" s="216"/>
      <c r="AW3" s="217"/>
      <c r="AX3" s="211"/>
      <c r="AY3" s="211"/>
      <c r="AZ3" s="211"/>
      <c r="BA3" s="211"/>
      <c r="BB3" s="211"/>
    </row>
    <row r="4" spans="19:54" ht="34.5" customHeight="1" thickBot="1">
      <c r="S4" s="225" t="s">
        <v>8</v>
      </c>
      <c r="T4" s="226"/>
      <c r="U4" s="226"/>
      <c r="V4" s="226"/>
      <c r="W4" s="226"/>
      <c r="X4" s="227"/>
      <c r="Y4" s="227"/>
      <c r="Z4" s="228"/>
      <c r="AA4" s="229" t="s">
        <v>9</v>
      </c>
      <c r="AB4" s="230"/>
      <c r="AC4" s="231" t="s">
        <v>10</v>
      </c>
      <c r="AD4" s="232"/>
      <c r="AE4" s="233" t="s">
        <v>11</v>
      </c>
      <c r="AF4" s="234"/>
      <c r="AG4" s="234"/>
      <c r="AH4" s="234"/>
      <c r="AI4" s="234"/>
      <c r="AJ4" s="235"/>
      <c r="AK4" s="7"/>
      <c r="AL4" s="236" t="s">
        <v>12</v>
      </c>
      <c r="AM4" s="237"/>
      <c r="AN4" s="237"/>
      <c r="AO4" s="237"/>
      <c r="AP4" s="237"/>
      <c r="AQ4" s="237"/>
      <c r="AR4" s="8"/>
      <c r="AS4" s="238" t="s">
        <v>13</v>
      </c>
      <c r="AT4" s="239"/>
      <c r="AU4" s="239"/>
      <c r="AV4" s="239"/>
      <c r="AW4" s="240"/>
      <c r="AX4" s="218" t="s">
        <v>14</v>
      </c>
      <c r="AY4" s="219"/>
      <c r="AZ4" s="219"/>
      <c r="BA4" s="219"/>
      <c r="BB4" s="220"/>
    </row>
    <row r="5" spans="19:54" ht="52.5" customHeight="1">
      <c r="S5" s="246" t="s">
        <v>15</v>
      </c>
      <c r="T5" s="248" t="s">
        <v>16</v>
      </c>
      <c r="U5" s="248" t="s">
        <v>17</v>
      </c>
      <c r="V5" s="248" t="s">
        <v>18</v>
      </c>
      <c r="W5" s="248" t="s">
        <v>19</v>
      </c>
      <c r="X5" s="248" t="s">
        <v>20</v>
      </c>
      <c r="Y5" s="248" t="s">
        <v>21</v>
      </c>
      <c r="Z5" s="250" t="s">
        <v>22</v>
      </c>
      <c r="AA5" s="252" t="s">
        <v>23</v>
      </c>
      <c r="AB5" s="270" t="s">
        <v>9</v>
      </c>
      <c r="AC5" s="272" t="s">
        <v>24</v>
      </c>
      <c r="AD5" s="272" t="s">
        <v>25</v>
      </c>
      <c r="AE5" s="274" t="s">
        <v>26</v>
      </c>
      <c r="AF5" s="209" t="s">
        <v>27</v>
      </c>
      <c r="AG5" s="209" t="s">
        <v>28</v>
      </c>
      <c r="AH5" s="263" t="s">
        <v>29</v>
      </c>
      <c r="AI5" s="263" t="s">
        <v>30</v>
      </c>
      <c r="AJ5" s="265" t="s">
        <v>31</v>
      </c>
      <c r="AK5" s="267" t="s">
        <v>32</v>
      </c>
      <c r="AL5" s="268"/>
      <c r="AM5" s="268"/>
      <c r="AN5" s="268"/>
      <c r="AO5" s="268"/>
      <c r="AP5" s="268"/>
      <c r="AQ5" s="268"/>
      <c r="AR5" s="269"/>
      <c r="AS5" s="259" t="s">
        <v>33</v>
      </c>
      <c r="AT5" s="259" t="s">
        <v>34</v>
      </c>
      <c r="AU5" s="259" t="s">
        <v>35</v>
      </c>
      <c r="AV5" s="259" t="s">
        <v>66</v>
      </c>
      <c r="AW5" s="261" t="s">
        <v>36</v>
      </c>
      <c r="AX5" s="252" t="s">
        <v>37</v>
      </c>
      <c r="AY5" s="221" t="s">
        <v>38</v>
      </c>
      <c r="AZ5" s="221" t="s">
        <v>39</v>
      </c>
      <c r="BA5" s="221" t="s">
        <v>40</v>
      </c>
      <c r="BB5" s="223" t="s">
        <v>41</v>
      </c>
    </row>
    <row r="6" spans="19:54" ht="27.95" customHeight="1" thickBot="1">
      <c r="S6" s="247"/>
      <c r="T6" s="249"/>
      <c r="U6" s="249"/>
      <c r="V6" s="249"/>
      <c r="W6" s="249"/>
      <c r="X6" s="249"/>
      <c r="Y6" s="249"/>
      <c r="Z6" s="251"/>
      <c r="AA6" s="253"/>
      <c r="AB6" s="271"/>
      <c r="AC6" s="273"/>
      <c r="AD6" s="273"/>
      <c r="AE6" s="275"/>
      <c r="AF6" s="210"/>
      <c r="AG6" s="210"/>
      <c r="AH6" s="264"/>
      <c r="AI6" s="264"/>
      <c r="AJ6" s="266"/>
      <c r="AK6" s="9">
        <v>1</v>
      </c>
      <c r="AL6" s="10">
        <v>2</v>
      </c>
      <c r="AM6" s="10">
        <v>3</v>
      </c>
      <c r="AN6" s="10">
        <v>4</v>
      </c>
      <c r="AO6" s="10">
        <v>5</v>
      </c>
      <c r="AP6" s="10">
        <v>6</v>
      </c>
      <c r="AQ6" s="10">
        <v>12</v>
      </c>
      <c r="AR6" s="11"/>
      <c r="AS6" s="260"/>
      <c r="AT6" s="260"/>
      <c r="AU6" s="260"/>
      <c r="AV6" s="260"/>
      <c r="AW6" s="262"/>
      <c r="AX6" s="253"/>
      <c r="AY6" s="222"/>
      <c r="AZ6" s="222"/>
      <c r="BA6" s="222"/>
      <c r="BB6" s="224"/>
    </row>
    <row r="7" spans="19:54" s="34" customFormat="1" ht="48" customHeight="1" thickBot="1">
      <c r="S7" s="12">
        <v>1</v>
      </c>
      <c r="T7" s="241" t="s">
        <v>1</v>
      </c>
      <c r="U7" s="13"/>
      <c r="V7" s="14"/>
      <c r="W7" s="15"/>
      <c r="X7" s="16"/>
      <c r="Y7" s="17"/>
      <c r="Z7" s="18">
        <f t="shared" ref="Z7:Z15" si="0">IF(Y7&lt;X7,1+Y7-X7,Y7-X7)</f>
        <v>0</v>
      </c>
      <c r="AA7" s="19"/>
      <c r="AB7" s="20"/>
      <c r="AC7" s="21"/>
      <c r="AD7" s="100"/>
      <c r="AE7" s="22"/>
      <c r="AF7" s="23"/>
      <c r="AG7" s="23"/>
      <c r="AH7" s="23"/>
      <c r="AI7" s="23"/>
      <c r="AJ7" s="24"/>
      <c r="AK7" s="25"/>
      <c r="AL7" s="26"/>
      <c r="AM7" s="26"/>
      <c r="AN7" s="26"/>
      <c r="AO7" s="26"/>
      <c r="AP7" s="26"/>
      <c r="AQ7" s="26"/>
      <c r="AR7" s="27"/>
      <c r="AS7" s="28"/>
      <c r="AT7" s="13"/>
      <c r="AU7" s="13"/>
      <c r="AV7" s="13"/>
      <c r="AW7" s="29"/>
      <c r="AX7" s="30">
        <f t="shared" ref="AX7:AX15" si="1">SUM(AY7:BB7)</f>
        <v>0</v>
      </c>
      <c r="AY7" s="31">
        <v>0</v>
      </c>
      <c r="AZ7" s="32">
        <v>0</v>
      </c>
      <c r="BA7" s="31">
        <v>0</v>
      </c>
      <c r="BB7" s="33">
        <f t="shared" ref="BB7:BB15" si="2">SUM(($AQ$6*AQ7+$AP$6*AP7+$AN$6*AN7+$AM$6*$AM7+$AL$6*AL7+$AK$6*AK7+$AO$6*AO7+$AR$6*AR7)*175)</f>
        <v>0</v>
      </c>
    </row>
    <row r="8" spans="19:54" s="34" customFormat="1" ht="48" customHeight="1" thickBot="1">
      <c r="S8" s="12">
        <v>2</v>
      </c>
      <c r="T8" s="242"/>
      <c r="U8" s="35"/>
      <c r="V8" s="144"/>
      <c r="W8" s="144"/>
      <c r="X8" s="36"/>
      <c r="Y8" s="36"/>
      <c r="Z8" s="37">
        <f t="shared" si="0"/>
        <v>0</v>
      </c>
      <c r="AA8" s="38"/>
      <c r="AB8" s="39"/>
      <c r="AC8" s="40"/>
      <c r="AD8" s="101"/>
      <c r="AE8" s="41"/>
      <c r="AF8" s="42"/>
      <c r="AG8" s="42"/>
      <c r="AH8" s="42"/>
      <c r="AI8" s="42"/>
      <c r="AJ8" s="43"/>
      <c r="AK8" s="44"/>
      <c r="AL8" s="45"/>
      <c r="AM8" s="45"/>
      <c r="AN8" s="45"/>
      <c r="AO8" s="45"/>
      <c r="AP8" s="45"/>
      <c r="AQ8" s="45"/>
      <c r="AR8" s="46"/>
      <c r="AS8" s="47"/>
      <c r="AT8" s="35"/>
      <c r="AU8" s="35"/>
      <c r="AV8" s="35"/>
      <c r="AW8" s="48"/>
      <c r="AX8" s="49">
        <f t="shared" si="1"/>
        <v>0</v>
      </c>
      <c r="AY8" s="50">
        <v>0</v>
      </c>
      <c r="AZ8" s="51">
        <v>0</v>
      </c>
      <c r="BA8" s="52">
        <v>0</v>
      </c>
      <c r="BB8" s="53">
        <f t="shared" si="2"/>
        <v>0</v>
      </c>
    </row>
    <row r="9" spans="19:54" s="34" customFormat="1" ht="48" customHeight="1" thickBot="1">
      <c r="S9" s="12">
        <v>3</v>
      </c>
      <c r="T9" s="242"/>
      <c r="U9" s="35"/>
      <c r="V9" s="144"/>
      <c r="W9" s="144"/>
      <c r="X9" s="36"/>
      <c r="Y9" s="36"/>
      <c r="Z9" s="37">
        <f t="shared" si="0"/>
        <v>0</v>
      </c>
      <c r="AA9" s="38"/>
      <c r="AB9" s="39"/>
      <c r="AC9" s="40"/>
      <c r="AD9" s="101"/>
      <c r="AE9" s="41"/>
      <c r="AF9" s="42"/>
      <c r="AG9" s="42"/>
      <c r="AH9" s="42"/>
      <c r="AI9" s="42"/>
      <c r="AJ9" s="43"/>
      <c r="AK9" s="44"/>
      <c r="AL9" s="45"/>
      <c r="AM9" s="45"/>
      <c r="AN9" s="45"/>
      <c r="AO9" s="45"/>
      <c r="AP9" s="45"/>
      <c r="AQ9" s="45"/>
      <c r="AR9" s="46"/>
      <c r="AS9" s="47"/>
      <c r="AT9" s="35"/>
      <c r="AU9" s="35"/>
      <c r="AV9" s="35"/>
      <c r="AW9" s="48"/>
      <c r="AX9" s="49">
        <f t="shared" si="1"/>
        <v>0</v>
      </c>
      <c r="AY9" s="51">
        <v>0</v>
      </c>
      <c r="AZ9" s="52">
        <v>0</v>
      </c>
      <c r="BA9" s="51">
        <v>0</v>
      </c>
      <c r="BB9" s="53">
        <f t="shared" si="2"/>
        <v>0</v>
      </c>
    </row>
    <row r="10" spans="19:54" s="34" customFormat="1" ht="48" customHeight="1" thickBot="1">
      <c r="S10" s="12">
        <v>4</v>
      </c>
      <c r="T10" s="243" t="s">
        <v>5</v>
      </c>
      <c r="U10" s="35"/>
      <c r="V10" s="144"/>
      <c r="W10" s="144"/>
      <c r="X10" s="36"/>
      <c r="Y10" s="36"/>
      <c r="Z10" s="37">
        <f t="shared" si="0"/>
        <v>0</v>
      </c>
      <c r="AA10" s="38"/>
      <c r="AB10" s="39"/>
      <c r="AC10" s="40"/>
      <c r="AD10" s="101"/>
      <c r="AE10" s="41"/>
      <c r="AF10" s="42"/>
      <c r="AG10" s="42"/>
      <c r="AH10" s="42"/>
      <c r="AI10" s="42"/>
      <c r="AJ10" s="43"/>
      <c r="AK10" s="44"/>
      <c r="AL10" s="45"/>
      <c r="AM10" s="45"/>
      <c r="AN10" s="45"/>
      <c r="AO10" s="45"/>
      <c r="AP10" s="45"/>
      <c r="AQ10" s="45"/>
      <c r="AR10" s="46"/>
      <c r="AS10" s="47"/>
      <c r="AT10" s="35"/>
      <c r="AU10" s="35"/>
      <c r="AV10" s="35"/>
      <c r="AW10" s="48"/>
      <c r="AX10" s="49">
        <f t="shared" si="1"/>
        <v>0</v>
      </c>
      <c r="AY10" s="51">
        <v>0</v>
      </c>
      <c r="AZ10" s="52">
        <v>0</v>
      </c>
      <c r="BA10" s="51">
        <v>0</v>
      </c>
      <c r="BB10" s="53">
        <f t="shared" si="2"/>
        <v>0</v>
      </c>
    </row>
    <row r="11" spans="19:54" s="34" customFormat="1" ht="48" customHeight="1" thickBot="1">
      <c r="S11" s="12">
        <v>5</v>
      </c>
      <c r="T11" s="243"/>
      <c r="U11" s="35"/>
      <c r="V11" s="144"/>
      <c r="W11" s="144"/>
      <c r="X11" s="36"/>
      <c r="Y11" s="120"/>
      <c r="Z11" s="37">
        <f t="shared" si="0"/>
        <v>0</v>
      </c>
      <c r="AA11" s="38"/>
      <c r="AB11" s="39"/>
      <c r="AC11" s="40"/>
      <c r="AD11" s="101"/>
      <c r="AE11" s="41"/>
      <c r="AF11" s="42"/>
      <c r="AG11" s="42"/>
      <c r="AH11" s="42"/>
      <c r="AI11" s="42"/>
      <c r="AJ11" s="43"/>
      <c r="AK11" s="44"/>
      <c r="AL11" s="45"/>
      <c r="AM11" s="45"/>
      <c r="AN11" s="45"/>
      <c r="AO11" s="45"/>
      <c r="AP11" s="45"/>
      <c r="AQ11" s="45"/>
      <c r="AR11" s="46"/>
      <c r="AS11" s="47"/>
      <c r="AT11" s="35"/>
      <c r="AU11" s="35"/>
      <c r="AV11" s="35"/>
      <c r="AW11" s="48"/>
      <c r="AX11" s="49">
        <f t="shared" si="1"/>
        <v>0</v>
      </c>
      <c r="AY11" s="50">
        <v>0</v>
      </c>
      <c r="AZ11" s="51">
        <v>0</v>
      </c>
      <c r="BA11" s="52">
        <v>0</v>
      </c>
      <c r="BB11" s="53">
        <f t="shared" si="2"/>
        <v>0</v>
      </c>
    </row>
    <row r="12" spans="19:54" s="34" customFormat="1" ht="48" customHeight="1" thickBot="1">
      <c r="S12" s="12">
        <v>10</v>
      </c>
      <c r="T12" s="243"/>
      <c r="U12" s="13"/>
      <c r="V12" s="14"/>
      <c r="W12" s="14"/>
      <c r="X12" s="54"/>
      <c r="Y12" s="54"/>
      <c r="Z12" s="55">
        <f t="shared" si="0"/>
        <v>0</v>
      </c>
      <c r="AA12" s="19"/>
      <c r="AB12" s="20"/>
      <c r="AC12" s="21"/>
      <c r="AD12" s="100"/>
      <c r="AE12" s="22"/>
      <c r="AF12" s="23"/>
      <c r="AG12" s="23"/>
      <c r="AH12" s="23"/>
      <c r="AI12" s="23"/>
      <c r="AJ12" s="24"/>
      <c r="AK12" s="25"/>
      <c r="AL12" s="26"/>
      <c r="AM12" s="26"/>
      <c r="AN12" s="26"/>
      <c r="AO12" s="26"/>
      <c r="AP12" s="26"/>
      <c r="AQ12" s="26"/>
      <c r="AR12" s="27"/>
      <c r="AS12" s="28"/>
      <c r="AT12" s="13"/>
      <c r="AU12" s="13"/>
      <c r="AV12" s="13"/>
      <c r="AW12" s="29"/>
      <c r="AX12" s="30">
        <f t="shared" si="1"/>
        <v>0</v>
      </c>
      <c r="AY12" s="31">
        <v>0</v>
      </c>
      <c r="AZ12" s="32">
        <v>0</v>
      </c>
      <c r="BA12" s="31">
        <v>0</v>
      </c>
      <c r="BB12" s="56">
        <f t="shared" si="2"/>
        <v>0</v>
      </c>
    </row>
    <row r="13" spans="19:54" s="34" customFormat="1" ht="48" customHeight="1" thickBot="1">
      <c r="S13" s="12">
        <v>11</v>
      </c>
      <c r="T13" s="244" t="s">
        <v>65</v>
      </c>
      <c r="U13" s="35"/>
      <c r="V13" s="144"/>
      <c r="W13" s="144"/>
      <c r="X13" s="36"/>
      <c r="Y13" s="36"/>
      <c r="Z13" s="37">
        <f t="shared" si="0"/>
        <v>0</v>
      </c>
      <c r="AA13" s="38"/>
      <c r="AB13" s="39"/>
      <c r="AC13" s="40"/>
      <c r="AD13" s="101"/>
      <c r="AE13" s="41"/>
      <c r="AF13" s="42"/>
      <c r="AG13" s="42"/>
      <c r="AH13" s="42"/>
      <c r="AI13" s="42"/>
      <c r="AJ13" s="43"/>
      <c r="AK13" s="44"/>
      <c r="AL13" s="45"/>
      <c r="AM13" s="45"/>
      <c r="AN13" s="45"/>
      <c r="AO13" s="45"/>
      <c r="AP13" s="45"/>
      <c r="AQ13" s="45"/>
      <c r="AR13" s="46"/>
      <c r="AS13" s="47"/>
      <c r="AT13" s="35"/>
      <c r="AU13" s="35"/>
      <c r="AV13" s="35"/>
      <c r="AW13" s="48"/>
      <c r="AX13" s="49">
        <f t="shared" si="1"/>
        <v>0</v>
      </c>
      <c r="AY13" s="50">
        <v>0</v>
      </c>
      <c r="AZ13" s="51">
        <v>0</v>
      </c>
      <c r="BA13" s="52">
        <v>0</v>
      </c>
      <c r="BB13" s="57">
        <f t="shared" si="2"/>
        <v>0</v>
      </c>
    </row>
    <row r="14" spans="19:54" s="34" customFormat="1" ht="48" customHeight="1" thickBot="1">
      <c r="S14" s="12">
        <v>12</v>
      </c>
      <c r="T14" s="244"/>
      <c r="U14" s="35"/>
      <c r="V14" s="144"/>
      <c r="W14" s="144"/>
      <c r="X14" s="36"/>
      <c r="Y14" s="36"/>
      <c r="Z14" s="37">
        <f t="shared" si="0"/>
        <v>0</v>
      </c>
      <c r="AA14" s="38"/>
      <c r="AB14" s="39"/>
      <c r="AC14" s="40"/>
      <c r="AD14" s="101"/>
      <c r="AE14" s="41"/>
      <c r="AF14" s="42"/>
      <c r="AG14" s="42"/>
      <c r="AH14" s="42"/>
      <c r="AI14" s="42"/>
      <c r="AJ14" s="43"/>
      <c r="AK14" s="44"/>
      <c r="AL14" s="45"/>
      <c r="AM14" s="45"/>
      <c r="AN14" s="45"/>
      <c r="AO14" s="45"/>
      <c r="AP14" s="45"/>
      <c r="AQ14" s="45"/>
      <c r="AR14" s="46"/>
      <c r="AS14" s="47"/>
      <c r="AT14" s="35"/>
      <c r="AU14" s="35"/>
      <c r="AV14" s="35"/>
      <c r="AW14" s="48"/>
      <c r="AX14" s="49">
        <f t="shared" si="1"/>
        <v>0</v>
      </c>
      <c r="AY14" s="51">
        <v>0</v>
      </c>
      <c r="AZ14" s="52">
        <v>0</v>
      </c>
      <c r="BA14" s="51">
        <v>0</v>
      </c>
      <c r="BB14" s="57">
        <f t="shared" si="2"/>
        <v>0</v>
      </c>
    </row>
    <row r="15" spans="19:54" s="34" customFormat="1" ht="48" customHeight="1" thickBot="1">
      <c r="S15" s="12">
        <v>13</v>
      </c>
      <c r="T15" s="245"/>
      <c r="U15" s="35"/>
      <c r="V15" s="158"/>
      <c r="W15" s="158"/>
      <c r="X15" s="36"/>
      <c r="Y15" s="36"/>
      <c r="Z15" s="61">
        <f t="shared" si="0"/>
        <v>0</v>
      </c>
      <c r="AA15" s="62"/>
      <c r="AB15" s="63"/>
      <c r="AC15" s="40"/>
      <c r="AD15" s="101"/>
      <c r="AE15" s="41"/>
      <c r="AF15" s="42"/>
      <c r="AG15" s="42"/>
      <c r="AH15" s="42"/>
      <c r="AI15" s="42"/>
      <c r="AJ15" s="43"/>
      <c r="AK15" s="44"/>
      <c r="AL15" s="45"/>
      <c r="AM15" s="45"/>
      <c r="AN15" s="45"/>
      <c r="AO15" s="45"/>
      <c r="AP15" s="45"/>
      <c r="AQ15" s="45"/>
      <c r="AR15" s="46"/>
      <c r="AS15" s="47"/>
      <c r="AT15" s="35"/>
      <c r="AU15" s="35"/>
      <c r="AV15" s="35"/>
      <c r="AW15" s="48"/>
      <c r="AX15" s="49">
        <f t="shared" si="1"/>
        <v>0</v>
      </c>
      <c r="AY15" s="50">
        <v>0</v>
      </c>
      <c r="AZ15" s="51">
        <v>0</v>
      </c>
      <c r="BA15" s="52">
        <v>0</v>
      </c>
      <c r="BB15" s="57">
        <f t="shared" si="2"/>
        <v>0</v>
      </c>
    </row>
    <row r="16" spans="19:54" s="72" customFormat="1" ht="50.1" customHeight="1">
      <c r="S16" s="254" t="s">
        <v>42</v>
      </c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5" t="s">
        <v>53</v>
      </c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6" t="s">
        <v>43</v>
      </c>
      <c r="AU16" s="257"/>
      <c r="AV16" s="257"/>
      <c r="AW16" s="257"/>
      <c r="AX16" s="257"/>
      <c r="AY16" s="257"/>
      <c r="AZ16" s="257"/>
      <c r="BA16" s="257"/>
      <c r="BB16" s="258"/>
    </row>
    <row r="17" spans="18:62" s="72" customFormat="1" ht="60" customHeight="1">
      <c r="S17" s="73" t="s">
        <v>15</v>
      </c>
      <c r="T17" s="300" t="s">
        <v>44</v>
      </c>
      <c r="U17" s="301"/>
      <c r="V17" s="302" t="s">
        <v>45</v>
      </c>
      <c r="W17" s="303"/>
      <c r="X17" s="74" t="s">
        <v>46</v>
      </c>
      <c r="Y17" s="75" t="s">
        <v>67</v>
      </c>
      <c r="Z17" s="304" t="s">
        <v>47</v>
      </c>
      <c r="AA17" s="304"/>
      <c r="AB17" s="304"/>
      <c r="AC17" s="304"/>
      <c r="AD17" s="304"/>
      <c r="AE17" s="304"/>
      <c r="AF17" s="304"/>
      <c r="AG17" s="305" t="s">
        <v>48</v>
      </c>
      <c r="AH17" s="306"/>
      <c r="AI17" s="307" t="s">
        <v>49</v>
      </c>
      <c r="AJ17" s="307"/>
      <c r="AK17" s="92"/>
      <c r="AL17" s="308" t="s">
        <v>68</v>
      </c>
      <c r="AM17" s="309"/>
      <c r="AN17" s="310"/>
      <c r="AO17" s="288" t="s">
        <v>50</v>
      </c>
      <c r="AP17" s="289"/>
      <c r="AQ17" s="289"/>
      <c r="AR17" s="289"/>
      <c r="AS17" s="289"/>
      <c r="AT17" s="76" t="s">
        <v>51</v>
      </c>
      <c r="AU17" s="290" t="s">
        <v>33</v>
      </c>
      <c r="AV17" s="291"/>
      <c r="AW17" s="77" t="s">
        <v>34</v>
      </c>
      <c r="AX17" s="77" t="s">
        <v>66</v>
      </c>
      <c r="AY17" s="77" t="s">
        <v>35</v>
      </c>
      <c r="AZ17" s="77" t="s">
        <v>36</v>
      </c>
      <c r="BA17" s="292" t="s">
        <v>52</v>
      </c>
      <c r="BB17" s="293"/>
    </row>
    <row r="18" spans="18:62" ht="60.75" customHeight="1">
      <c r="S18" s="78">
        <v>1</v>
      </c>
      <c r="T18" s="294"/>
      <c r="U18" s="295"/>
      <c r="V18" s="280"/>
      <c r="W18" s="281"/>
      <c r="X18" s="79" t="str">
        <f>TEXT(MOD(V18-T18,1),"h:mm")</f>
        <v>0:00</v>
      </c>
      <c r="Y18" s="80"/>
      <c r="Z18" s="282"/>
      <c r="AA18" s="282"/>
      <c r="AB18" s="282"/>
      <c r="AC18" s="282"/>
      <c r="AD18" s="282"/>
      <c r="AE18" s="282"/>
      <c r="AF18" s="282"/>
      <c r="AG18" s="296">
        <f>SUM(AX7:AX9)</f>
        <v>0</v>
      </c>
      <c r="AH18" s="297"/>
      <c r="AI18" s="298">
        <f>SUM(AX10:AX12)</f>
        <v>0</v>
      </c>
      <c r="AJ18" s="298"/>
      <c r="AK18" s="93"/>
      <c r="AL18" s="298">
        <f>SUM(AX13:AX15)</f>
        <v>0</v>
      </c>
      <c r="AM18" s="298"/>
      <c r="AN18" s="298"/>
      <c r="AO18" s="299">
        <f>SUM(AG18:AN18)</f>
        <v>0</v>
      </c>
      <c r="AP18" s="299"/>
      <c r="AQ18" s="299"/>
      <c r="AR18" s="299"/>
      <c r="AS18" s="299"/>
      <c r="AT18" s="81" t="s">
        <v>1</v>
      </c>
      <c r="AU18" s="276">
        <f>SUM(AS7:AS9)</f>
        <v>0</v>
      </c>
      <c r="AV18" s="277"/>
      <c r="AW18" s="82">
        <f>SUM(AT7:AT9)</f>
        <v>0</v>
      </c>
      <c r="AX18" s="82">
        <f>SUM(AV7:AV9)</f>
        <v>0</v>
      </c>
      <c r="AY18" s="82">
        <f>SUM(AU7:AU9)</f>
        <v>0</v>
      </c>
      <c r="AZ18" s="82">
        <f>SUM(AW7:AW9)</f>
        <v>0</v>
      </c>
      <c r="BA18" s="276">
        <f>SUM(AU18:AZ18)</f>
        <v>0</v>
      </c>
      <c r="BB18" s="277"/>
    </row>
    <row r="19" spans="18:62" ht="60.75" customHeight="1">
      <c r="S19" s="78">
        <v>2</v>
      </c>
      <c r="T19" s="278"/>
      <c r="U19" s="279"/>
      <c r="V19" s="280"/>
      <c r="W19" s="281"/>
      <c r="X19" s="79" t="str">
        <f>TEXT(MOD(V19-T19,1),"h:mm")</f>
        <v>0:00</v>
      </c>
      <c r="Y19" s="80"/>
      <c r="Z19" s="282"/>
      <c r="AA19" s="282"/>
      <c r="AB19" s="282"/>
      <c r="AC19" s="282"/>
      <c r="AD19" s="282"/>
      <c r="AE19" s="282"/>
      <c r="AF19" s="282"/>
      <c r="AG19" s="283" t="s">
        <v>41</v>
      </c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5"/>
      <c r="AT19" s="83" t="s">
        <v>5</v>
      </c>
      <c r="AU19" s="286">
        <f>SUM(AS10:AS12)</f>
        <v>0</v>
      </c>
      <c r="AV19" s="287"/>
      <c r="AW19" s="84">
        <f>SUM(AT10:AT12)</f>
        <v>0</v>
      </c>
      <c r="AX19" s="84">
        <f>SUM(AV10:AV12)</f>
        <v>0</v>
      </c>
      <c r="AY19" s="84">
        <f>SUM(AU10:AU12)</f>
        <v>0</v>
      </c>
      <c r="AZ19" s="84">
        <f>SUM(AW10:AW12)</f>
        <v>0</v>
      </c>
      <c r="BA19" s="286">
        <f>SUM(AU19:AZ19)</f>
        <v>0</v>
      </c>
      <c r="BB19" s="287"/>
    </row>
    <row r="20" spans="18:62" ht="60.75" customHeight="1">
      <c r="S20" s="78">
        <v>3</v>
      </c>
      <c r="T20" s="278"/>
      <c r="U20" s="279"/>
      <c r="V20" s="280"/>
      <c r="W20" s="281"/>
      <c r="X20" s="79" t="str">
        <f>TEXT(MOD(V20-T20,1),"h:mm")</f>
        <v>0:00</v>
      </c>
      <c r="Y20" s="139"/>
      <c r="Z20" s="327"/>
      <c r="AA20" s="327"/>
      <c r="AB20" s="327"/>
      <c r="AC20" s="327"/>
      <c r="AD20" s="327"/>
      <c r="AE20" s="327"/>
      <c r="AF20" s="327"/>
      <c r="AG20" s="311">
        <f>SUM(BB7:BB9)</f>
        <v>0</v>
      </c>
      <c r="AH20" s="328"/>
      <c r="AI20" s="311">
        <f>SUM(BB10:BB12)</f>
        <v>0</v>
      </c>
      <c r="AJ20" s="328"/>
      <c r="AK20" s="94"/>
      <c r="AL20" s="311">
        <f>SUM(BB13:BB15)</f>
        <v>0</v>
      </c>
      <c r="AM20" s="329"/>
      <c r="AN20" s="328"/>
      <c r="AO20" s="311">
        <f>SUM(AG20:AN20)</f>
        <v>0</v>
      </c>
      <c r="AP20" s="312"/>
      <c r="AQ20" s="312"/>
      <c r="AR20" s="312"/>
      <c r="AS20" s="313"/>
      <c r="AT20" s="91" t="s">
        <v>65</v>
      </c>
      <c r="AU20" s="314">
        <f>SUM(AS13:AS15)</f>
        <v>0</v>
      </c>
      <c r="AV20" s="315"/>
      <c r="AW20" s="99">
        <f>SUM(AT13:AT15)</f>
        <v>0</v>
      </c>
      <c r="AX20" s="99">
        <f>SUM(AV13:AV15)</f>
        <v>0</v>
      </c>
      <c r="AY20" s="99">
        <f>SUM(AU13:AU15)</f>
        <v>0</v>
      </c>
      <c r="AZ20" s="99">
        <f>SUM(AW13:AW15)</f>
        <v>0</v>
      </c>
      <c r="BA20" s="316">
        <f>SUM(AU20:AZ20)</f>
        <v>0</v>
      </c>
      <c r="BB20" s="317"/>
    </row>
    <row r="21" spans="18:62" ht="60.75" customHeight="1">
      <c r="S21" s="78">
        <v>4</v>
      </c>
      <c r="T21" s="278"/>
      <c r="U21" s="279"/>
      <c r="V21" s="280"/>
      <c r="W21" s="281"/>
      <c r="X21" s="79" t="str">
        <f>TEXT(MOD(V21-T21,1),"h:mm")</f>
        <v>0:00</v>
      </c>
      <c r="Y21" s="80"/>
      <c r="Z21" s="318"/>
      <c r="AA21" s="318"/>
      <c r="AB21" s="318"/>
      <c r="AC21" s="318"/>
      <c r="AD21" s="318"/>
      <c r="AE21" s="318"/>
      <c r="AF21" s="318"/>
      <c r="AG21" s="319" t="s">
        <v>54</v>
      </c>
      <c r="AH21" s="320"/>
      <c r="AI21" s="320"/>
      <c r="AJ21" s="320"/>
      <c r="AK21" s="320"/>
      <c r="AL21" s="320"/>
      <c r="AM21" s="320"/>
      <c r="AN21" s="320"/>
      <c r="AO21" s="320"/>
      <c r="AP21" s="320"/>
      <c r="AQ21" s="320"/>
      <c r="AR21" s="320"/>
      <c r="AS21" s="321"/>
      <c r="AT21" s="322" t="s">
        <v>55</v>
      </c>
      <c r="AU21" s="323"/>
      <c r="AV21" s="324"/>
      <c r="AW21" s="325">
        <v>1680</v>
      </c>
      <c r="AX21" s="326"/>
      <c r="AY21" s="322" t="s">
        <v>56</v>
      </c>
      <c r="AZ21" s="324"/>
      <c r="BA21" s="330">
        <v>1628</v>
      </c>
      <c r="BB21" s="331"/>
    </row>
    <row r="22" spans="18:62" ht="54" customHeight="1">
      <c r="S22" s="78">
        <v>5</v>
      </c>
      <c r="T22" s="278"/>
      <c r="U22" s="279"/>
      <c r="V22" s="280"/>
      <c r="W22" s="281"/>
      <c r="X22" s="79" t="str">
        <f>TEXT(MOD(V22-T22,1),"h:mm")</f>
        <v>0:00</v>
      </c>
      <c r="Y22" s="80"/>
      <c r="Z22" s="318"/>
      <c r="AA22" s="318"/>
      <c r="AB22" s="318"/>
      <c r="AC22" s="318"/>
      <c r="AD22" s="318"/>
      <c r="AE22" s="318"/>
      <c r="AF22" s="318"/>
      <c r="AG22" s="357">
        <f>SUM(AY7:BA9)</f>
        <v>0</v>
      </c>
      <c r="AH22" s="357"/>
      <c r="AI22" s="298">
        <f>SUM(AY10:BA12)</f>
        <v>0</v>
      </c>
      <c r="AJ22" s="298"/>
      <c r="AK22" s="95"/>
      <c r="AL22" s="358">
        <f>SUM(AY13:BA15)</f>
        <v>0</v>
      </c>
      <c r="AM22" s="358"/>
      <c r="AN22" s="359"/>
      <c r="AO22" s="360">
        <f>SUM(AG22:AN22)</f>
        <v>0</v>
      </c>
      <c r="AP22" s="361"/>
      <c r="AQ22" s="361"/>
      <c r="AR22" s="361"/>
      <c r="AS22" s="362"/>
      <c r="AT22" s="98" t="s">
        <v>69</v>
      </c>
      <c r="AU22" s="363" t="s">
        <v>48</v>
      </c>
      <c r="AV22" s="364"/>
      <c r="AW22" s="365" t="s">
        <v>49</v>
      </c>
      <c r="AX22" s="366"/>
      <c r="AY22" s="332" t="s">
        <v>68</v>
      </c>
      <c r="AZ22" s="333"/>
      <c r="BA22" s="334" t="s">
        <v>57</v>
      </c>
      <c r="BB22" s="335"/>
    </row>
    <row r="23" spans="18:62" ht="59.25" customHeight="1">
      <c r="S23" s="336" t="s">
        <v>61</v>
      </c>
      <c r="T23" s="337"/>
      <c r="U23" s="337"/>
      <c r="V23" s="337"/>
      <c r="W23" s="338"/>
      <c r="X23" s="85">
        <f>SUM(X18+X19+X20+X21+X22)</f>
        <v>0</v>
      </c>
      <c r="Y23" s="145" t="s">
        <v>62</v>
      </c>
      <c r="Z23" s="86"/>
      <c r="AA23" s="87"/>
      <c r="AB23" s="87"/>
      <c r="AC23" s="339" t="s">
        <v>63</v>
      </c>
      <c r="AD23" s="339"/>
      <c r="AE23" s="340"/>
      <c r="AF23" s="341"/>
      <c r="AG23" s="342" t="s">
        <v>22</v>
      </c>
      <c r="AH23" s="343"/>
      <c r="AI23" s="344"/>
      <c r="AJ23" s="345" t="s">
        <v>48</v>
      </c>
      <c r="AK23" s="346"/>
      <c r="AL23" s="346"/>
      <c r="AM23" s="347"/>
      <c r="AN23" s="348" t="s">
        <v>49</v>
      </c>
      <c r="AO23" s="348"/>
      <c r="AP23" s="348"/>
      <c r="AQ23" s="349" t="s">
        <v>68</v>
      </c>
      <c r="AR23" s="350"/>
      <c r="AS23" s="351"/>
      <c r="AT23" s="96" t="s">
        <v>60</v>
      </c>
      <c r="AU23" s="352">
        <f>SUM(AQ7:AQ9)</f>
        <v>0</v>
      </c>
      <c r="AV23" s="353"/>
      <c r="AW23" s="352">
        <f>SUM(AQ10:AQ12)</f>
        <v>0</v>
      </c>
      <c r="AX23" s="354"/>
      <c r="AY23" s="352">
        <f>SUM(AQ13:AQ15)</f>
        <v>0</v>
      </c>
      <c r="AZ23" s="353"/>
      <c r="BA23" s="355">
        <f>SUM(AU23:AZ23)</f>
        <v>0</v>
      </c>
      <c r="BB23" s="356"/>
    </row>
    <row r="24" spans="18:62" ht="57" customHeight="1">
      <c r="S24" s="367"/>
      <c r="T24" s="368"/>
      <c r="U24" s="368"/>
      <c r="V24" s="368"/>
      <c r="W24" s="369"/>
      <c r="X24" s="373" t="s">
        <v>73</v>
      </c>
      <c r="Y24" s="104" t="s">
        <v>70</v>
      </c>
      <c r="Z24" s="105" t="s">
        <v>71</v>
      </c>
      <c r="AA24" s="103"/>
      <c r="AB24" s="103"/>
      <c r="AC24" s="375" t="s">
        <v>72</v>
      </c>
      <c r="AD24" s="376"/>
      <c r="AE24" s="377" t="s">
        <v>57</v>
      </c>
      <c r="AF24" s="378"/>
      <c r="AG24" s="379" t="s">
        <v>58</v>
      </c>
      <c r="AH24" s="380"/>
      <c r="AI24" s="381"/>
      <c r="AJ24" s="382">
        <f>AVERAGE(Z7:Z9)</f>
        <v>0</v>
      </c>
      <c r="AK24" s="383"/>
      <c r="AL24" s="383"/>
      <c r="AM24" s="383"/>
      <c r="AN24" s="382">
        <f>AVERAGE(Z10:Z12)</f>
        <v>0</v>
      </c>
      <c r="AO24" s="383"/>
      <c r="AP24" s="383"/>
      <c r="AQ24" s="382">
        <f>AVERAGE(Z13)</f>
        <v>0</v>
      </c>
      <c r="AR24" s="383"/>
      <c r="AS24" s="383"/>
      <c r="AT24" s="97" t="s">
        <v>64</v>
      </c>
      <c r="AU24" s="387">
        <f>SUM(AL7:AP9)</f>
        <v>0</v>
      </c>
      <c r="AV24" s="388"/>
      <c r="AW24" s="387">
        <f>SUM(AL10:AP12)</f>
        <v>0</v>
      </c>
      <c r="AX24" s="388"/>
      <c r="AY24" s="387">
        <f>SUM(AL13:AP15)</f>
        <v>0</v>
      </c>
      <c r="AZ24" s="388"/>
      <c r="BA24" s="389">
        <f>SUM(AU24:AZ24)</f>
        <v>0</v>
      </c>
      <c r="BB24" s="390"/>
    </row>
    <row r="25" spans="18:62" ht="52.5" customHeight="1">
      <c r="S25" s="370"/>
      <c r="T25" s="371"/>
      <c r="U25" s="371"/>
      <c r="V25" s="371"/>
      <c r="W25" s="372"/>
      <c r="X25" s="374"/>
      <c r="Y25" s="106">
        <f>SUM(AD7:AD9)</f>
        <v>0</v>
      </c>
      <c r="Z25" s="106">
        <f>SUM(AD10:AD12)</f>
        <v>0</v>
      </c>
      <c r="AA25" s="107"/>
      <c r="AB25" s="107"/>
      <c r="AC25" s="391">
        <f>SUM(AD13:AD15)</f>
        <v>0</v>
      </c>
      <c r="AD25" s="392"/>
      <c r="AE25" s="393">
        <f>SUM(Y25:AD25)</f>
        <v>0</v>
      </c>
      <c r="AF25" s="394"/>
      <c r="AG25" s="379" t="s">
        <v>59</v>
      </c>
      <c r="AH25" s="380"/>
      <c r="AI25" s="381"/>
      <c r="AJ25" s="382">
        <f>SUM(Z7:Z9)</f>
        <v>0</v>
      </c>
      <c r="AK25" s="383"/>
      <c r="AL25" s="383"/>
      <c r="AM25" s="383"/>
      <c r="AN25" s="382">
        <f>SUM(Z10:Z12)</f>
        <v>0</v>
      </c>
      <c r="AO25" s="383"/>
      <c r="AP25" s="383"/>
      <c r="AQ25" s="382">
        <f>SUM(Z13:Z15)</f>
        <v>0</v>
      </c>
      <c r="AR25" s="383"/>
      <c r="AS25" s="383"/>
      <c r="AT25" s="384"/>
      <c r="AU25" s="385"/>
      <c r="AV25" s="385"/>
      <c r="AW25" s="385"/>
      <c r="AX25" s="385"/>
      <c r="AY25" s="385"/>
      <c r="AZ25" s="385"/>
      <c r="BA25" s="385"/>
      <c r="BB25" s="386"/>
    </row>
    <row r="26" spans="18:62" ht="60.75" customHeight="1"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8:62" ht="30" customHeight="1"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8:62" ht="30" customHeight="1"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T28" s="4"/>
      <c r="AU28" s="4"/>
      <c r="AV28" s="4"/>
      <c r="AW28" s="4"/>
      <c r="AX28" s="4"/>
      <c r="AY28" s="4"/>
      <c r="AZ28" s="4"/>
      <c r="BA28" s="4"/>
    </row>
    <row r="29" spans="18:62" ht="30" customHeight="1"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T29" s="4"/>
      <c r="AU29" s="4"/>
      <c r="AV29" s="4"/>
      <c r="AW29" s="4"/>
      <c r="AX29" s="4"/>
      <c r="AY29" s="4"/>
      <c r="AZ29" s="4"/>
      <c r="BA29" s="4"/>
    </row>
    <row r="30" spans="18:62" ht="30" customHeight="1">
      <c r="R30" s="3"/>
      <c r="S30" s="3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T30" s="4"/>
      <c r="AU30" s="4"/>
      <c r="AV30" s="4"/>
      <c r="AW30" s="4"/>
      <c r="AX30" s="4"/>
      <c r="AY30" s="4"/>
      <c r="AZ30" s="4"/>
      <c r="BA30" s="4"/>
    </row>
    <row r="31" spans="18:62" ht="30" customHeight="1">
      <c r="R31" s="3"/>
      <c r="S31" s="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T31" s="4"/>
      <c r="AU31" s="4"/>
      <c r="AV31" s="4"/>
      <c r="AW31" s="4"/>
      <c r="AX31" s="4"/>
      <c r="AY31" s="4"/>
      <c r="AZ31" s="4"/>
      <c r="BA31" s="4"/>
    </row>
    <row r="32" spans="18:62" ht="15" customHeight="1">
      <c r="S32" s="3"/>
      <c r="BJ32" s="4">
        <v>8</v>
      </c>
    </row>
  </sheetData>
  <mergeCells count="145">
    <mergeCell ref="S24:W25"/>
    <mergeCell ref="X24:X25"/>
    <mergeCell ref="AC24:AD24"/>
    <mergeCell ref="AE24:AF24"/>
    <mergeCell ref="AG24:AI24"/>
    <mergeCell ref="AJ24:AM24"/>
    <mergeCell ref="AN24:AP24"/>
    <mergeCell ref="AQ25:AS25"/>
    <mergeCell ref="AT25:BB25"/>
    <mergeCell ref="AQ24:AS24"/>
    <mergeCell ref="AU24:AV24"/>
    <mergeCell ref="AW24:AX24"/>
    <mergeCell ref="AY24:AZ24"/>
    <mergeCell ref="BA24:BB24"/>
    <mergeCell ref="AC25:AD25"/>
    <mergeCell ref="AE25:AF25"/>
    <mergeCell ref="AG25:AI25"/>
    <mergeCell ref="AJ25:AM25"/>
    <mergeCell ref="AN25:AP25"/>
    <mergeCell ref="AY22:AZ22"/>
    <mergeCell ref="BA22:BB22"/>
    <mergeCell ref="S23:W23"/>
    <mergeCell ref="AC23:AD23"/>
    <mergeCell ref="AE23:AF23"/>
    <mergeCell ref="AG23:AI23"/>
    <mergeCell ref="AJ23:AM23"/>
    <mergeCell ref="AN23:AP23"/>
    <mergeCell ref="AQ23:AS23"/>
    <mergeCell ref="AU23:AV23"/>
    <mergeCell ref="AW23:AX23"/>
    <mergeCell ref="AY23:AZ23"/>
    <mergeCell ref="BA23:BB23"/>
    <mergeCell ref="T22:U22"/>
    <mergeCell ref="V22:W22"/>
    <mergeCell ref="Z22:AF22"/>
    <mergeCell ref="AG22:AH22"/>
    <mergeCell ref="AI22:AJ22"/>
    <mergeCell ref="AL22:AN22"/>
    <mergeCell ref="AO22:AS22"/>
    <mergeCell ref="AU22:AV22"/>
    <mergeCell ref="AW22:AX22"/>
    <mergeCell ref="AO20:AS20"/>
    <mergeCell ref="AU20:AV20"/>
    <mergeCell ref="BA20:BB20"/>
    <mergeCell ref="T21:U21"/>
    <mergeCell ref="V21:W21"/>
    <mergeCell ref="Z21:AF21"/>
    <mergeCell ref="AG21:AS21"/>
    <mergeCell ref="AT21:AV21"/>
    <mergeCell ref="AW21:AX21"/>
    <mergeCell ref="AY21:AZ21"/>
    <mergeCell ref="T20:U20"/>
    <mergeCell ref="V20:W20"/>
    <mergeCell ref="Z20:AF20"/>
    <mergeCell ref="AG20:AH20"/>
    <mergeCell ref="AI20:AJ20"/>
    <mergeCell ref="AL20:AN20"/>
    <mergeCell ref="BA21:BB21"/>
    <mergeCell ref="AU18:AV18"/>
    <mergeCell ref="BA18:BB18"/>
    <mergeCell ref="T19:U19"/>
    <mergeCell ref="V19:W19"/>
    <mergeCell ref="Z19:AF19"/>
    <mergeCell ref="AG19:AS19"/>
    <mergeCell ref="AU19:AV19"/>
    <mergeCell ref="BA19:BB19"/>
    <mergeCell ref="AO17:AS17"/>
    <mergeCell ref="AU17:AV17"/>
    <mergeCell ref="BA17:BB17"/>
    <mergeCell ref="T18:U18"/>
    <mergeCell ref="V18:W18"/>
    <mergeCell ref="Z18:AF18"/>
    <mergeCell ref="AG18:AH18"/>
    <mergeCell ref="AI18:AJ18"/>
    <mergeCell ref="AL18:AN18"/>
    <mergeCell ref="AO18:AS18"/>
    <mergeCell ref="T17:U17"/>
    <mergeCell ref="V17:W17"/>
    <mergeCell ref="Z17:AF17"/>
    <mergeCell ref="AG17:AH17"/>
    <mergeCell ref="AI17:AJ17"/>
    <mergeCell ref="AL17:AN17"/>
    <mergeCell ref="S16:AF16"/>
    <mergeCell ref="AG16:AS16"/>
    <mergeCell ref="AT16:BB16"/>
    <mergeCell ref="AU5:AU6"/>
    <mergeCell ref="AV5:AV6"/>
    <mergeCell ref="AW5:AW6"/>
    <mergeCell ref="AX5:AX6"/>
    <mergeCell ref="AY5:AY6"/>
    <mergeCell ref="AZ5:AZ6"/>
    <mergeCell ref="AH5:AH6"/>
    <mergeCell ref="AI5:AI6"/>
    <mergeCell ref="AJ5:AJ6"/>
    <mergeCell ref="AK5:AR5"/>
    <mergeCell ref="AS5:AS6"/>
    <mergeCell ref="AT5:AT6"/>
    <mergeCell ref="AB5:AB6"/>
    <mergeCell ref="AC5:AC6"/>
    <mergeCell ref="AD5:AD6"/>
    <mergeCell ref="AE5:AE6"/>
    <mergeCell ref="S4:Z4"/>
    <mergeCell ref="AA4:AB4"/>
    <mergeCell ref="AC4:AD4"/>
    <mergeCell ref="AE4:AJ4"/>
    <mergeCell ref="AL4:AQ4"/>
    <mergeCell ref="AS4:AW4"/>
    <mergeCell ref="T7:T9"/>
    <mergeCell ref="T10:T12"/>
    <mergeCell ref="T13:T15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Q1:AT1"/>
    <mergeCell ref="AU1:AW1"/>
    <mergeCell ref="AF5:AF6"/>
    <mergeCell ref="AG5:AG6"/>
    <mergeCell ref="AX1:BB3"/>
    <mergeCell ref="AC2:AE2"/>
    <mergeCell ref="AF2:AH2"/>
    <mergeCell ref="AI2:AL2"/>
    <mergeCell ref="AM2:AP2"/>
    <mergeCell ref="AQ2:AT2"/>
    <mergeCell ref="AU2:AW2"/>
    <mergeCell ref="AC3:AE3"/>
    <mergeCell ref="AQ3:AT3"/>
    <mergeCell ref="AU3:AW3"/>
    <mergeCell ref="AX4:BB4"/>
    <mergeCell ref="BA5:BA6"/>
    <mergeCell ref="BB5:BB6"/>
    <mergeCell ref="S1:W3"/>
    <mergeCell ref="X1:Y3"/>
    <mergeCell ref="AC1:AE1"/>
    <mergeCell ref="AF1:AH1"/>
    <mergeCell ref="AI1:AL1"/>
    <mergeCell ref="AM1:AP1"/>
    <mergeCell ref="AF3:AH3"/>
    <mergeCell ref="AI3:AL3"/>
    <mergeCell ref="AM3:AP3"/>
  </mergeCells>
  <conditionalFormatting sqref="Z7:Z15">
    <cfRule type="cellIs" dxfId="246" priority="7" operator="greaterThan">
      <formula>0.167361111111111</formula>
    </cfRule>
    <cfRule type="cellIs" dxfId="245" priority="8" operator="greaterThan">
      <formula>0.15625</formula>
    </cfRule>
  </conditionalFormatting>
  <conditionalFormatting sqref="AA7:AJ15">
    <cfRule type="cellIs" dxfId="244" priority="2" operator="between">
      <formula>1700</formula>
      <formula>1710</formula>
    </cfRule>
    <cfRule type="cellIs" dxfId="243" priority="3" operator="between">
      <formula>1691</formula>
      <formula>1700</formula>
    </cfRule>
  </conditionalFormatting>
  <conditionalFormatting sqref="AS7:AS15">
    <cfRule type="expression" dxfId="242" priority="4">
      <formula>IF(($AS7/$AX7)*1000&gt;$AY$1,1,0)</formula>
    </cfRule>
  </conditionalFormatting>
  <conditionalFormatting sqref="AT7:AW15">
    <cfRule type="cellIs" dxfId="241" priority="1" operator="greaterThan">
      <formula>10</formula>
    </cfRule>
  </conditionalFormatting>
  <conditionalFormatting sqref="AX7:AX15">
    <cfRule type="cellIs" dxfId="240" priority="6" operator="between">
      <formula>16000</formula>
      <formula>17200</formula>
    </cfRule>
    <cfRule type="cellIs" dxfId="239" priority="10" operator="lessThan">
      <formula>15800</formula>
    </cfRule>
    <cfRule type="cellIs" dxfId="238" priority="11" operator="greaterThan">
      <formula>18000</formula>
    </cfRule>
  </conditionalFormatting>
  <conditionalFormatting sqref="AZ7:BA15">
    <cfRule type="cellIs" dxfId="237" priority="14" operator="greaterThan">
      <formula>0</formula>
    </cfRule>
  </conditionalFormatting>
  <conditionalFormatting sqref="BB7:BB15">
    <cfRule type="cellIs" dxfId="236" priority="5" operator="between">
      <formula>16000</formula>
      <formula>17200</formula>
    </cfRule>
    <cfRule type="cellIs" dxfId="235" priority="12" operator="greaterThan">
      <formula>18000</formula>
    </cfRule>
    <cfRule type="cellIs" dxfId="234" priority="13" operator="lessThan">
      <formula>15800</formula>
    </cfRule>
  </conditionalFormatting>
  <printOptions horizontalCentered="1" verticalCentered="1"/>
  <pageMargins left="0" right="0" top="0" bottom="0.21" header="0" footer="0"/>
  <pageSetup paperSize="9" scale="42" orientation="landscape" cellComments="asDisplayed" r:id="rId1"/>
  <headerFooter differentFirst="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7C0F4-4ACC-4C0A-A03D-8A338BEB389F}">
  <sheetPr>
    <tabColor theme="5"/>
    <pageSetUpPr fitToPage="1"/>
  </sheetPr>
  <dimension ref="R1:BJ32"/>
  <sheetViews>
    <sheetView showGridLines="0" rightToLeft="1" topLeftCell="M1" zoomScale="55" zoomScaleNormal="55" zoomScalePageLayoutView="40" workbookViewId="0">
      <selection activeCell="AU8" sqref="AU8"/>
    </sheetView>
  </sheetViews>
  <sheetFormatPr defaultColWidth="9.140625" defaultRowHeight="15"/>
  <cols>
    <col min="1" max="18" width="9.140625" style="4"/>
    <col min="19" max="19" width="5.7109375" style="4" customWidth="1"/>
    <col min="20" max="20" width="9.5703125" style="3" customWidth="1"/>
    <col min="21" max="21" width="10.7109375" style="3" customWidth="1"/>
    <col min="22" max="22" width="9.42578125" style="88" customWidth="1"/>
    <col min="23" max="23" width="8.85546875" style="88" customWidth="1"/>
    <col min="24" max="24" width="14.42578125" style="3" customWidth="1"/>
    <col min="25" max="25" width="14.7109375" style="3" customWidth="1"/>
    <col min="26" max="26" width="15.140625" style="88" customWidth="1"/>
    <col min="27" max="27" width="9.5703125" style="3" hidden="1" customWidth="1"/>
    <col min="28" max="28" width="10" style="3" hidden="1" customWidth="1"/>
    <col min="29" max="29" width="8.140625" style="3" customWidth="1"/>
    <col min="30" max="30" width="8.5703125" style="3" customWidth="1"/>
    <col min="31" max="31" width="12.42578125" style="3" customWidth="1"/>
    <col min="32" max="32" width="10.5703125" style="3" customWidth="1"/>
    <col min="33" max="33" width="9.5703125" style="3" customWidth="1"/>
    <col min="34" max="34" width="11.42578125" style="3" customWidth="1"/>
    <col min="35" max="35" width="9.42578125" style="3" customWidth="1"/>
    <col min="36" max="36" width="9.28515625" style="3" customWidth="1"/>
    <col min="37" max="37" width="6.7109375" style="3" hidden="1" customWidth="1"/>
    <col min="38" max="42" width="6.7109375" style="3" customWidth="1"/>
    <col min="43" max="43" width="8.140625" style="3" customWidth="1"/>
    <col min="44" max="44" width="6.7109375" style="3" hidden="1" customWidth="1"/>
    <col min="45" max="45" width="10.42578125" style="3" customWidth="1"/>
    <col min="46" max="46" width="8.7109375" style="3" customWidth="1"/>
    <col min="47" max="47" width="8.5703125" style="3" customWidth="1"/>
    <col min="48" max="48" width="8.7109375" style="3" customWidth="1"/>
    <col min="49" max="49" width="9.5703125" style="3" customWidth="1"/>
    <col min="50" max="50" width="12.42578125" style="88" customWidth="1"/>
    <col min="51" max="51" width="11.85546875" style="3" customWidth="1"/>
    <col min="52" max="52" width="11.5703125" style="3" customWidth="1"/>
    <col min="53" max="53" width="13.42578125" style="3" customWidth="1"/>
    <col min="54" max="54" width="13.5703125" style="4" customWidth="1"/>
    <col min="55" max="57" width="9.140625" style="4"/>
    <col min="58" max="58" width="25" style="4" customWidth="1"/>
    <col min="59" max="61" width="9.140625" style="4"/>
    <col min="62" max="62" width="23.5703125" style="4" customWidth="1"/>
    <col min="63" max="16384" width="9.140625" style="4"/>
  </cols>
  <sheetData>
    <row r="1" spans="19:54" ht="36.75" customHeight="1" thickBot="1">
      <c r="S1" s="180"/>
      <c r="T1" s="181"/>
      <c r="U1" s="181"/>
      <c r="V1" s="181"/>
      <c r="W1" s="181"/>
      <c r="X1" s="182" t="s">
        <v>0</v>
      </c>
      <c r="Y1" s="183"/>
      <c r="Z1" s="1" t="s">
        <v>1</v>
      </c>
      <c r="AA1" s="2"/>
      <c r="AC1" s="188" t="s">
        <v>2</v>
      </c>
      <c r="AD1" s="189"/>
      <c r="AE1" s="189"/>
      <c r="AF1" s="190" t="s">
        <v>75</v>
      </c>
      <c r="AG1" s="191"/>
      <c r="AH1" s="192"/>
      <c r="AI1" s="193" t="s">
        <v>3</v>
      </c>
      <c r="AJ1" s="194"/>
      <c r="AK1" s="194"/>
      <c r="AL1" s="195"/>
      <c r="AM1" s="196" t="s">
        <v>76</v>
      </c>
      <c r="AN1" s="197"/>
      <c r="AO1" s="197"/>
      <c r="AP1" s="198"/>
      <c r="AQ1" s="203" t="s">
        <v>4</v>
      </c>
      <c r="AR1" s="204"/>
      <c r="AS1" s="204"/>
      <c r="AT1" s="205"/>
      <c r="AU1" s="206" t="s">
        <v>74</v>
      </c>
      <c r="AV1" s="207"/>
      <c r="AW1" s="208"/>
      <c r="AX1" s="211" t="s">
        <v>110</v>
      </c>
      <c r="AY1" s="211"/>
      <c r="AZ1" s="211"/>
      <c r="BA1" s="211"/>
      <c r="BB1" s="211"/>
    </row>
    <row r="2" spans="19:54" ht="36.75" customHeight="1" thickBot="1">
      <c r="S2" s="180"/>
      <c r="T2" s="181"/>
      <c r="U2" s="181"/>
      <c r="V2" s="181"/>
      <c r="W2" s="181"/>
      <c r="X2" s="184"/>
      <c r="Y2" s="185"/>
      <c r="Z2" s="5" t="s">
        <v>5</v>
      </c>
      <c r="AA2" s="89"/>
      <c r="AC2" s="188" t="s">
        <v>2</v>
      </c>
      <c r="AD2" s="189"/>
      <c r="AE2" s="212"/>
      <c r="AF2" s="190" t="s">
        <v>78</v>
      </c>
      <c r="AG2" s="191"/>
      <c r="AH2" s="192"/>
      <c r="AI2" s="193" t="s">
        <v>3</v>
      </c>
      <c r="AJ2" s="194"/>
      <c r="AK2" s="194"/>
      <c r="AL2" s="195"/>
      <c r="AM2" s="202" t="s">
        <v>79</v>
      </c>
      <c r="AN2" s="202"/>
      <c r="AO2" s="202"/>
      <c r="AP2" s="202"/>
      <c r="AQ2" s="203" t="s">
        <v>4</v>
      </c>
      <c r="AR2" s="204"/>
      <c r="AS2" s="204"/>
      <c r="AT2" s="205"/>
      <c r="AU2" s="213" t="s">
        <v>77</v>
      </c>
      <c r="AV2" s="213"/>
      <c r="AW2" s="213"/>
      <c r="AX2" s="211"/>
      <c r="AY2" s="211"/>
      <c r="AZ2" s="211"/>
      <c r="BA2" s="211"/>
      <c r="BB2" s="211"/>
    </row>
    <row r="3" spans="19:54" ht="38.25" customHeight="1" thickBot="1">
      <c r="S3" s="181"/>
      <c r="T3" s="181"/>
      <c r="U3" s="181"/>
      <c r="V3" s="181"/>
      <c r="W3" s="181"/>
      <c r="X3" s="186"/>
      <c r="Y3" s="187"/>
      <c r="Z3" s="90" t="s">
        <v>65</v>
      </c>
      <c r="AA3" s="6"/>
      <c r="AC3" s="188" t="s">
        <v>6</v>
      </c>
      <c r="AD3" s="189"/>
      <c r="AE3" s="212"/>
      <c r="AF3" s="190" t="s">
        <v>81</v>
      </c>
      <c r="AG3" s="191"/>
      <c r="AH3" s="192"/>
      <c r="AI3" s="199" t="s">
        <v>7</v>
      </c>
      <c r="AJ3" s="200"/>
      <c r="AK3" s="200"/>
      <c r="AL3" s="201"/>
      <c r="AM3" s="202" t="s">
        <v>82</v>
      </c>
      <c r="AN3" s="202"/>
      <c r="AO3" s="202"/>
      <c r="AP3" s="202"/>
      <c r="AQ3" s="203" t="s">
        <v>4</v>
      </c>
      <c r="AR3" s="204"/>
      <c r="AS3" s="204"/>
      <c r="AT3" s="214"/>
      <c r="AU3" s="215" t="s">
        <v>80</v>
      </c>
      <c r="AV3" s="216"/>
      <c r="AW3" s="217"/>
      <c r="AX3" s="211"/>
      <c r="AY3" s="211"/>
      <c r="AZ3" s="211"/>
      <c r="BA3" s="211"/>
      <c r="BB3" s="211"/>
    </row>
    <row r="4" spans="19:54" ht="34.5" customHeight="1" thickBot="1">
      <c r="S4" s="225" t="s">
        <v>8</v>
      </c>
      <c r="T4" s="226"/>
      <c r="U4" s="226"/>
      <c r="V4" s="226"/>
      <c r="W4" s="226"/>
      <c r="X4" s="227"/>
      <c r="Y4" s="227"/>
      <c r="Z4" s="228"/>
      <c r="AA4" s="229" t="s">
        <v>9</v>
      </c>
      <c r="AB4" s="230"/>
      <c r="AC4" s="231" t="s">
        <v>10</v>
      </c>
      <c r="AD4" s="232"/>
      <c r="AE4" s="233" t="s">
        <v>11</v>
      </c>
      <c r="AF4" s="234"/>
      <c r="AG4" s="234"/>
      <c r="AH4" s="234"/>
      <c r="AI4" s="234"/>
      <c r="AJ4" s="235"/>
      <c r="AK4" s="7"/>
      <c r="AL4" s="236" t="s">
        <v>12</v>
      </c>
      <c r="AM4" s="237"/>
      <c r="AN4" s="237"/>
      <c r="AO4" s="237"/>
      <c r="AP4" s="237"/>
      <c r="AQ4" s="237"/>
      <c r="AR4" s="8"/>
      <c r="AS4" s="238" t="s">
        <v>13</v>
      </c>
      <c r="AT4" s="239"/>
      <c r="AU4" s="239"/>
      <c r="AV4" s="239"/>
      <c r="AW4" s="240"/>
      <c r="AX4" s="218" t="s">
        <v>14</v>
      </c>
      <c r="AY4" s="219"/>
      <c r="AZ4" s="219"/>
      <c r="BA4" s="219"/>
      <c r="BB4" s="220"/>
    </row>
    <row r="5" spans="19:54" ht="52.5" customHeight="1">
      <c r="S5" s="246" t="s">
        <v>15</v>
      </c>
      <c r="T5" s="248" t="s">
        <v>16</v>
      </c>
      <c r="U5" s="248" t="s">
        <v>17</v>
      </c>
      <c r="V5" s="248" t="s">
        <v>18</v>
      </c>
      <c r="W5" s="248" t="s">
        <v>19</v>
      </c>
      <c r="X5" s="248" t="s">
        <v>20</v>
      </c>
      <c r="Y5" s="248" t="s">
        <v>21</v>
      </c>
      <c r="Z5" s="250" t="s">
        <v>22</v>
      </c>
      <c r="AA5" s="252" t="s">
        <v>23</v>
      </c>
      <c r="AB5" s="270" t="s">
        <v>9</v>
      </c>
      <c r="AC5" s="272" t="s">
        <v>24</v>
      </c>
      <c r="AD5" s="272" t="s">
        <v>25</v>
      </c>
      <c r="AE5" s="274" t="s">
        <v>26</v>
      </c>
      <c r="AF5" s="209" t="s">
        <v>27</v>
      </c>
      <c r="AG5" s="209" t="s">
        <v>28</v>
      </c>
      <c r="AH5" s="263" t="s">
        <v>29</v>
      </c>
      <c r="AI5" s="263" t="s">
        <v>30</v>
      </c>
      <c r="AJ5" s="265" t="s">
        <v>31</v>
      </c>
      <c r="AK5" s="267" t="s">
        <v>32</v>
      </c>
      <c r="AL5" s="268"/>
      <c r="AM5" s="268"/>
      <c r="AN5" s="268"/>
      <c r="AO5" s="268"/>
      <c r="AP5" s="268"/>
      <c r="AQ5" s="268"/>
      <c r="AR5" s="269"/>
      <c r="AS5" s="259" t="s">
        <v>33</v>
      </c>
      <c r="AT5" s="259" t="s">
        <v>34</v>
      </c>
      <c r="AU5" s="259" t="s">
        <v>35</v>
      </c>
      <c r="AV5" s="259" t="s">
        <v>66</v>
      </c>
      <c r="AW5" s="261" t="s">
        <v>36</v>
      </c>
      <c r="AX5" s="252" t="s">
        <v>37</v>
      </c>
      <c r="AY5" s="221" t="s">
        <v>38</v>
      </c>
      <c r="AZ5" s="221" t="s">
        <v>39</v>
      </c>
      <c r="BA5" s="221" t="s">
        <v>40</v>
      </c>
      <c r="BB5" s="223" t="s">
        <v>41</v>
      </c>
    </row>
    <row r="6" spans="19:54" ht="27.95" customHeight="1" thickBot="1">
      <c r="S6" s="247"/>
      <c r="T6" s="249"/>
      <c r="U6" s="249"/>
      <c r="V6" s="249"/>
      <c r="W6" s="249"/>
      <c r="X6" s="249"/>
      <c r="Y6" s="249"/>
      <c r="Z6" s="251"/>
      <c r="AA6" s="253"/>
      <c r="AB6" s="271"/>
      <c r="AC6" s="273"/>
      <c r="AD6" s="273"/>
      <c r="AE6" s="275"/>
      <c r="AF6" s="210"/>
      <c r="AG6" s="210"/>
      <c r="AH6" s="264"/>
      <c r="AI6" s="264"/>
      <c r="AJ6" s="266"/>
      <c r="AK6" s="9">
        <v>1</v>
      </c>
      <c r="AL6" s="10">
        <v>2</v>
      </c>
      <c r="AM6" s="10">
        <v>3</v>
      </c>
      <c r="AN6" s="10">
        <v>4</v>
      </c>
      <c r="AO6" s="10">
        <v>5</v>
      </c>
      <c r="AP6" s="10">
        <v>6</v>
      </c>
      <c r="AQ6" s="10">
        <v>12</v>
      </c>
      <c r="AR6" s="11"/>
      <c r="AS6" s="260"/>
      <c r="AT6" s="260"/>
      <c r="AU6" s="260"/>
      <c r="AV6" s="260"/>
      <c r="AW6" s="262"/>
      <c r="AX6" s="253"/>
      <c r="AY6" s="222"/>
      <c r="AZ6" s="222"/>
      <c r="BA6" s="222"/>
      <c r="BB6" s="224"/>
    </row>
    <row r="7" spans="19:54" s="34" customFormat="1" ht="48" customHeight="1" thickBot="1">
      <c r="S7" s="12">
        <v>1</v>
      </c>
      <c r="T7" s="241" t="s">
        <v>1</v>
      </c>
      <c r="U7" s="35"/>
      <c r="V7" s="158"/>
      <c r="W7" s="158"/>
      <c r="X7" s="36"/>
      <c r="Y7" s="36"/>
      <c r="Z7" s="18">
        <f t="shared" ref="Z7:Z15" si="0">IF(Y7&lt;X7,1+Y7-X7,Y7-X7)</f>
        <v>0</v>
      </c>
      <c r="AA7" s="19"/>
      <c r="AB7" s="20"/>
      <c r="AC7" s="40"/>
      <c r="AD7" s="101"/>
      <c r="AE7" s="41"/>
      <c r="AF7" s="42"/>
      <c r="AG7" s="42"/>
      <c r="AH7" s="42"/>
      <c r="AI7" s="42"/>
      <c r="AJ7" s="43"/>
      <c r="AK7" s="44"/>
      <c r="AL7" s="45"/>
      <c r="AM7" s="45"/>
      <c r="AN7" s="45"/>
      <c r="AO7" s="45"/>
      <c r="AP7" s="45"/>
      <c r="AQ7" s="45"/>
      <c r="AR7" s="46"/>
      <c r="AS7" s="47"/>
      <c r="AT7" s="35"/>
      <c r="AU7" s="35"/>
      <c r="AV7" s="35"/>
      <c r="AW7" s="48"/>
      <c r="AX7" s="30">
        <f t="shared" ref="AX7:AX15" si="1">SUM(AY7:BB7)</f>
        <v>0</v>
      </c>
      <c r="AY7" s="31">
        <v>0</v>
      </c>
      <c r="AZ7" s="32">
        <v>0</v>
      </c>
      <c r="BA7" s="31">
        <v>0</v>
      </c>
      <c r="BB7" s="33">
        <f t="shared" ref="BB7:BB15" si="2">SUM(($AQ$6*AQ7+$AP$6*AP7+$AN$6*AN7+$AM$6*$AM7+$AL$6*AL7+$AK$6*AK7+$AO$6*AO7+$AR$6*AR7)*175)</f>
        <v>0</v>
      </c>
    </row>
    <row r="8" spans="19:54" s="34" customFormat="1" ht="48" customHeight="1" thickBot="1">
      <c r="S8" s="12">
        <v>2</v>
      </c>
      <c r="T8" s="242"/>
      <c r="U8" s="58"/>
      <c r="V8" s="59"/>
      <c r="W8" s="59"/>
      <c r="X8" s="60"/>
      <c r="Y8" s="60"/>
      <c r="Z8" s="37">
        <f t="shared" si="0"/>
        <v>0</v>
      </c>
      <c r="AA8" s="38"/>
      <c r="AB8" s="39"/>
      <c r="AC8" s="64"/>
      <c r="AD8" s="102"/>
      <c r="AE8" s="65"/>
      <c r="AF8" s="66"/>
      <c r="AG8" s="67"/>
      <c r="AH8" s="67"/>
      <c r="AI8" s="67"/>
      <c r="AJ8" s="66"/>
      <c r="AK8" s="68"/>
      <c r="AL8" s="69"/>
      <c r="AM8" s="69"/>
      <c r="AN8" s="69"/>
      <c r="AO8" s="69"/>
      <c r="AP8" s="69"/>
      <c r="AQ8" s="69"/>
      <c r="AR8" s="70"/>
      <c r="AS8" s="71"/>
      <c r="AT8" s="35"/>
      <c r="AU8" s="35"/>
      <c r="AV8" s="35"/>
      <c r="AW8" s="48"/>
      <c r="AX8" s="49">
        <f t="shared" si="1"/>
        <v>0</v>
      </c>
      <c r="AY8" s="50">
        <v>0</v>
      </c>
      <c r="AZ8" s="51">
        <v>0</v>
      </c>
      <c r="BA8" s="52">
        <v>0</v>
      </c>
      <c r="BB8" s="53">
        <f t="shared" si="2"/>
        <v>0</v>
      </c>
    </row>
    <row r="9" spans="19:54" s="34" customFormat="1" ht="48" customHeight="1" thickBot="1">
      <c r="S9" s="12">
        <v>3</v>
      </c>
      <c r="T9" s="242"/>
      <c r="U9" s="35"/>
      <c r="V9" s="133"/>
      <c r="W9" s="133"/>
      <c r="X9" s="36"/>
      <c r="Y9" s="36"/>
      <c r="Z9" s="37">
        <f t="shared" si="0"/>
        <v>0</v>
      </c>
      <c r="AA9" s="38"/>
      <c r="AB9" s="39"/>
      <c r="AC9" s="147"/>
      <c r="AD9" s="101"/>
      <c r="AE9" s="41"/>
      <c r="AF9" s="42"/>
      <c r="AG9" s="42"/>
      <c r="AH9" s="42"/>
      <c r="AI9" s="42"/>
      <c r="AJ9" s="43"/>
      <c r="AK9" s="44"/>
      <c r="AL9" s="45"/>
      <c r="AM9" s="45"/>
      <c r="AN9" s="45"/>
      <c r="AO9" s="45"/>
      <c r="AP9" s="45"/>
      <c r="AQ9" s="45"/>
      <c r="AR9" s="46"/>
      <c r="AS9" s="47"/>
      <c r="AT9" s="35"/>
      <c r="AU9" s="35"/>
      <c r="AV9" s="35"/>
      <c r="AW9" s="48"/>
      <c r="AX9" s="49">
        <f t="shared" si="1"/>
        <v>0</v>
      </c>
      <c r="AY9" s="51">
        <v>0</v>
      </c>
      <c r="AZ9" s="52">
        <v>0</v>
      </c>
      <c r="BA9" s="51">
        <v>0</v>
      </c>
      <c r="BB9" s="53">
        <f t="shared" si="2"/>
        <v>0</v>
      </c>
    </row>
    <row r="10" spans="19:54" s="34" customFormat="1" ht="48" customHeight="1" thickBot="1">
      <c r="S10" s="12">
        <v>4</v>
      </c>
      <c r="T10" s="243" t="s">
        <v>5</v>
      </c>
      <c r="U10" s="35"/>
      <c r="V10" s="133"/>
      <c r="W10" s="133"/>
      <c r="X10" s="36"/>
      <c r="Y10" s="36"/>
      <c r="Z10" s="37">
        <f t="shared" si="0"/>
        <v>0</v>
      </c>
      <c r="AA10" s="38"/>
      <c r="AB10" s="39"/>
      <c r="AC10" s="40"/>
      <c r="AD10" s="101"/>
      <c r="AE10" s="41"/>
      <c r="AF10" s="42"/>
      <c r="AG10" s="42"/>
      <c r="AH10" s="42"/>
      <c r="AI10" s="42"/>
      <c r="AJ10" s="43"/>
      <c r="AK10" s="44"/>
      <c r="AL10" s="45"/>
      <c r="AM10" s="45"/>
      <c r="AN10" s="45"/>
      <c r="AO10" s="45"/>
      <c r="AP10" s="45"/>
      <c r="AQ10" s="45"/>
      <c r="AR10" s="46"/>
      <c r="AS10" s="47"/>
      <c r="AT10" s="35"/>
      <c r="AU10" s="35"/>
      <c r="AV10" s="35"/>
      <c r="AW10" s="48"/>
      <c r="AX10" s="49">
        <f t="shared" si="1"/>
        <v>0</v>
      </c>
      <c r="AY10" s="51">
        <v>0</v>
      </c>
      <c r="AZ10" s="52">
        <v>0</v>
      </c>
      <c r="BA10" s="51">
        <v>0</v>
      </c>
      <c r="BB10" s="53">
        <f t="shared" si="2"/>
        <v>0</v>
      </c>
    </row>
    <row r="11" spans="19:54" s="34" customFormat="1" ht="48" customHeight="1" thickBot="1">
      <c r="S11" s="12">
        <v>5</v>
      </c>
      <c r="T11" s="243"/>
      <c r="U11" s="35"/>
      <c r="V11" s="133"/>
      <c r="W11" s="133"/>
      <c r="X11" s="36"/>
      <c r="Y11" s="120"/>
      <c r="Z11" s="37">
        <f t="shared" si="0"/>
        <v>0</v>
      </c>
      <c r="AA11" s="38"/>
      <c r="AB11" s="39"/>
      <c r="AC11" s="40"/>
      <c r="AD11" s="101"/>
      <c r="AE11" s="41"/>
      <c r="AF11" s="42"/>
      <c r="AG11" s="42"/>
      <c r="AH11" s="42"/>
      <c r="AI11" s="42"/>
      <c r="AJ11" s="43"/>
      <c r="AK11" s="44"/>
      <c r="AL11" s="45"/>
      <c r="AM11" s="45"/>
      <c r="AN11" s="45"/>
      <c r="AO11" s="45"/>
      <c r="AP11" s="45"/>
      <c r="AQ11" s="45"/>
      <c r="AR11" s="46"/>
      <c r="AS11" s="47"/>
      <c r="AT11" s="35"/>
      <c r="AU11" s="35"/>
      <c r="AV11" s="35"/>
      <c r="AW11" s="48"/>
      <c r="AX11" s="49">
        <f t="shared" si="1"/>
        <v>0</v>
      </c>
      <c r="AY11" s="50">
        <v>0</v>
      </c>
      <c r="AZ11" s="51">
        <v>0</v>
      </c>
      <c r="BA11" s="52">
        <v>0</v>
      </c>
      <c r="BB11" s="53">
        <f t="shared" si="2"/>
        <v>0</v>
      </c>
    </row>
    <row r="12" spans="19:54" s="34" customFormat="1" ht="48" customHeight="1" thickBot="1">
      <c r="S12" s="12">
        <v>10</v>
      </c>
      <c r="T12" s="243"/>
      <c r="U12" s="13"/>
      <c r="V12" s="14"/>
      <c r="W12" s="14"/>
      <c r="X12" s="54"/>
      <c r="Y12" s="54"/>
      <c r="Z12" s="55">
        <f t="shared" si="0"/>
        <v>0</v>
      </c>
      <c r="AA12" s="19"/>
      <c r="AB12" s="20"/>
      <c r="AC12" s="21"/>
      <c r="AD12" s="100"/>
      <c r="AE12" s="22"/>
      <c r="AF12" s="23"/>
      <c r="AG12" s="23"/>
      <c r="AH12" s="23"/>
      <c r="AI12" s="23"/>
      <c r="AJ12" s="24"/>
      <c r="AK12" s="25"/>
      <c r="AL12" s="26"/>
      <c r="AM12" s="26"/>
      <c r="AN12" s="26"/>
      <c r="AO12" s="26"/>
      <c r="AP12" s="26"/>
      <c r="AQ12" s="26"/>
      <c r="AR12" s="27"/>
      <c r="AS12" s="28"/>
      <c r="AT12" s="13"/>
      <c r="AU12" s="13"/>
      <c r="AV12" s="13"/>
      <c r="AW12" s="29"/>
      <c r="AX12" s="30">
        <f t="shared" si="1"/>
        <v>0</v>
      </c>
      <c r="AY12" s="31">
        <v>0</v>
      </c>
      <c r="AZ12" s="32">
        <v>0</v>
      </c>
      <c r="BA12" s="31">
        <v>0</v>
      </c>
      <c r="BB12" s="56">
        <f t="shared" si="2"/>
        <v>0</v>
      </c>
    </row>
    <row r="13" spans="19:54" s="34" customFormat="1" ht="48" customHeight="1" thickBot="1">
      <c r="S13" s="12">
        <v>11</v>
      </c>
      <c r="T13" s="244" t="s">
        <v>65</v>
      </c>
      <c r="U13" s="35"/>
      <c r="V13" s="133"/>
      <c r="W13" s="133"/>
      <c r="X13" s="36"/>
      <c r="Y13" s="36"/>
      <c r="Z13" s="37">
        <f t="shared" si="0"/>
        <v>0</v>
      </c>
      <c r="AA13" s="38"/>
      <c r="AB13" s="39"/>
      <c r="AC13" s="40"/>
      <c r="AD13" s="101"/>
      <c r="AE13" s="41"/>
      <c r="AF13" s="42"/>
      <c r="AG13" s="42"/>
      <c r="AH13" s="42"/>
      <c r="AI13" s="42"/>
      <c r="AJ13" s="43"/>
      <c r="AK13" s="44"/>
      <c r="AL13" s="45"/>
      <c r="AM13" s="45"/>
      <c r="AN13" s="45"/>
      <c r="AO13" s="45"/>
      <c r="AP13" s="45"/>
      <c r="AQ13" s="45"/>
      <c r="AR13" s="46"/>
      <c r="AS13" s="47"/>
      <c r="AT13" s="35"/>
      <c r="AU13" s="35"/>
      <c r="AV13" s="35"/>
      <c r="AW13" s="48"/>
      <c r="AX13" s="49">
        <f t="shared" si="1"/>
        <v>0</v>
      </c>
      <c r="AY13" s="50">
        <v>0</v>
      </c>
      <c r="AZ13" s="51">
        <v>0</v>
      </c>
      <c r="BA13" s="52">
        <v>0</v>
      </c>
      <c r="BB13" s="57">
        <f t="shared" si="2"/>
        <v>0</v>
      </c>
    </row>
    <row r="14" spans="19:54" s="34" customFormat="1" ht="48" customHeight="1" thickBot="1">
      <c r="S14" s="12">
        <v>12</v>
      </c>
      <c r="T14" s="244"/>
      <c r="U14" s="35"/>
      <c r="V14" s="133"/>
      <c r="W14" s="133"/>
      <c r="X14" s="36"/>
      <c r="Y14" s="36"/>
      <c r="Z14" s="37">
        <f t="shared" si="0"/>
        <v>0</v>
      </c>
      <c r="AA14" s="38"/>
      <c r="AB14" s="39"/>
      <c r="AC14" s="40"/>
      <c r="AD14" s="101"/>
      <c r="AE14" s="41"/>
      <c r="AF14" s="42"/>
      <c r="AG14" s="42"/>
      <c r="AH14" s="42"/>
      <c r="AI14" s="42"/>
      <c r="AJ14" s="43"/>
      <c r="AK14" s="44"/>
      <c r="AL14" s="45"/>
      <c r="AM14" s="45"/>
      <c r="AN14" s="45"/>
      <c r="AO14" s="45"/>
      <c r="AP14" s="45"/>
      <c r="AQ14" s="45"/>
      <c r="AR14" s="46"/>
      <c r="AS14" s="47"/>
      <c r="AT14" s="35"/>
      <c r="AU14" s="35"/>
      <c r="AV14" s="35"/>
      <c r="AW14" s="48"/>
      <c r="AX14" s="49">
        <f t="shared" si="1"/>
        <v>0</v>
      </c>
      <c r="AY14" s="51">
        <v>0</v>
      </c>
      <c r="AZ14" s="52">
        <v>0</v>
      </c>
      <c r="BA14" s="51">
        <v>0</v>
      </c>
      <c r="BB14" s="57">
        <f t="shared" si="2"/>
        <v>0</v>
      </c>
    </row>
    <row r="15" spans="19:54" s="34" customFormat="1" ht="48" customHeight="1" thickBot="1">
      <c r="S15" s="12">
        <v>13</v>
      </c>
      <c r="T15" s="245"/>
      <c r="U15" s="58"/>
      <c r="V15" s="59"/>
      <c r="W15" s="59"/>
      <c r="X15" s="60"/>
      <c r="Y15" s="60"/>
      <c r="Z15" s="61">
        <f t="shared" si="0"/>
        <v>0</v>
      </c>
      <c r="AA15" s="62"/>
      <c r="AB15" s="63"/>
      <c r="AC15" s="64"/>
      <c r="AD15" s="102"/>
      <c r="AE15" s="65"/>
      <c r="AF15" s="66"/>
      <c r="AG15" s="67"/>
      <c r="AH15" s="67"/>
      <c r="AI15" s="67"/>
      <c r="AJ15" s="66"/>
      <c r="AK15" s="68"/>
      <c r="AL15" s="69"/>
      <c r="AM15" s="69"/>
      <c r="AN15" s="69"/>
      <c r="AO15" s="69"/>
      <c r="AP15" s="69"/>
      <c r="AQ15" s="69"/>
      <c r="AR15" s="70"/>
      <c r="AS15" s="71"/>
      <c r="AT15" s="35"/>
      <c r="AU15" s="35"/>
      <c r="AV15" s="35"/>
      <c r="AW15" s="48"/>
      <c r="AX15" s="49">
        <f t="shared" si="1"/>
        <v>0</v>
      </c>
      <c r="AY15" s="50">
        <v>0</v>
      </c>
      <c r="AZ15" s="51">
        <v>0</v>
      </c>
      <c r="BA15" s="52">
        <v>0</v>
      </c>
      <c r="BB15" s="57">
        <f t="shared" si="2"/>
        <v>0</v>
      </c>
    </row>
    <row r="16" spans="19:54" s="72" customFormat="1" ht="50.1" customHeight="1">
      <c r="S16" s="254" t="s">
        <v>91</v>
      </c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5" t="s">
        <v>53</v>
      </c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6" t="s">
        <v>43</v>
      </c>
      <c r="AU16" s="257"/>
      <c r="AV16" s="257"/>
      <c r="AW16" s="257"/>
      <c r="AX16" s="257"/>
      <c r="AY16" s="257"/>
      <c r="AZ16" s="257"/>
      <c r="BA16" s="257"/>
      <c r="BB16" s="258"/>
    </row>
    <row r="17" spans="18:62" s="72" customFormat="1" ht="60" customHeight="1">
      <c r="S17" s="73" t="s">
        <v>15</v>
      </c>
      <c r="T17" s="300" t="s">
        <v>44</v>
      </c>
      <c r="U17" s="301"/>
      <c r="V17" s="302" t="s">
        <v>45</v>
      </c>
      <c r="W17" s="303"/>
      <c r="X17" s="74" t="s">
        <v>46</v>
      </c>
      <c r="Y17" s="75" t="s">
        <v>67</v>
      </c>
      <c r="Z17" s="304" t="s">
        <v>47</v>
      </c>
      <c r="AA17" s="304"/>
      <c r="AB17" s="304"/>
      <c r="AC17" s="304"/>
      <c r="AD17" s="304"/>
      <c r="AE17" s="304"/>
      <c r="AF17" s="304"/>
      <c r="AG17" s="305" t="s">
        <v>48</v>
      </c>
      <c r="AH17" s="306"/>
      <c r="AI17" s="307" t="s">
        <v>49</v>
      </c>
      <c r="AJ17" s="307"/>
      <c r="AK17" s="92"/>
      <c r="AL17" s="308" t="s">
        <v>68</v>
      </c>
      <c r="AM17" s="309"/>
      <c r="AN17" s="310"/>
      <c r="AO17" s="288" t="s">
        <v>50</v>
      </c>
      <c r="AP17" s="289"/>
      <c r="AQ17" s="289"/>
      <c r="AR17" s="289"/>
      <c r="AS17" s="289"/>
      <c r="AT17" s="76" t="s">
        <v>51</v>
      </c>
      <c r="AU17" s="290" t="s">
        <v>33</v>
      </c>
      <c r="AV17" s="291"/>
      <c r="AW17" s="77" t="s">
        <v>34</v>
      </c>
      <c r="AX17" s="77" t="s">
        <v>66</v>
      </c>
      <c r="AY17" s="77" t="s">
        <v>35</v>
      </c>
      <c r="AZ17" s="77" t="s">
        <v>36</v>
      </c>
      <c r="BA17" s="292" t="s">
        <v>52</v>
      </c>
      <c r="BB17" s="293"/>
    </row>
    <row r="18" spans="18:62" ht="60.75" customHeight="1">
      <c r="S18" s="78">
        <v>1</v>
      </c>
      <c r="T18" s="294"/>
      <c r="U18" s="295"/>
      <c r="V18" s="280"/>
      <c r="W18" s="281"/>
      <c r="X18" s="79" t="str">
        <f>TEXT(MOD(V18-T18,1),"h:mm")</f>
        <v>0:00</v>
      </c>
      <c r="Y18" s="80"/>
      <c r="Z18" s="282"/>
      <c r="AA18" s="282"/>
      <c r="AB18" s="282"/>
      <c r="AC18" s="282"/>
      <c r="AD18" s="282"/>
      <c r="AE18" s="282"/>
      <c r="AF18" s="282"/>
      <c r="AG18" s="296">
        <f>SUM(AX7:AX9)</f>
        <v>0</v>
      </c>
      <c r="AH18" s="297"/>
      <c r="AI18" s="298">
        <f>SUM(AX10:AX12)</f>
        <v>0</v>
      </c>
      <c r="AJ18" s="298"/>
      <c r="AK18" s="93"/>
      <c r="AL18" s="298">
        <f>SUM(AX13:AX15)</f>
        <v>0</v>
      </c>
      <c r="AM18" s="298"/>
      <c r="AN18" s="298"/>
      <c r="AO18" s="299">
        <f>SUM(AG18:AN18)</f>
        <v>0</v>
      </c>
      <c r="AP18" s="299"/>
      <c r="AQ18" s="299"/>
      <c r="AR18" s="299"/>
      <c r="AS18" s="299"/>
      <c r="AT18" s="81" t="s">
        <v>1</v>
      </c>
      <c r="AU18" s="276">
        <f>SUM(AS7:AS9)</f>
        <v>0</v>
      </c>
      <c r="AV18" s="277"/>
      <c r="AW18" s="82">
        <f>SUM(AT7:AT9)</f>
        <v>0</v>
      </c>
      <c r="AX18" s="82">
        <f>SUM(AV7:AV9)</f>
        <v>0</v>
      </c>
      <c r="AY18" s="82">
        <f>SUM(AU7:AU9)</f>
        <v>0</v>
      </c>
      <c r="AZ18" s="82">
        <f>SUM(AW7:AW9)</f>
        <v>0</v>
      </c>
      <c r="BA18" s="276">
        <f>SUM(AU18:AZ18)</f>
        <v>0</v>
      </c>
      <c r="BB18" s="277"/>
    </row>
    <row r="19" spans="18:62" ht="60.75" customHeight="1">
      <c r="S19" s="78">
        <v>2</v>
      </c>
      <c r="T19" s="278"/>
      <c r="U19" s="279"/>
      <c r="V19" s="280"/>
      <c r="W19" s="281"/>
      <c r="X19" s="79" t="str">
        <f>TEXT(MOD(V19-T19,1),"h:mm")</f>
        <v>0:00</v>
      </c>
      <c r="Y19" s="80"/>
      <c r="Z19" s="282"/>
      <c r="AA19" s="282"/>
      <c r="AB19" s="282"/>
      <c r="AC19" s="282"/>
      <c r="AD19" s="282"/>
      <c r="AE19" s="282"/>
      <c r="AF19" s="282"/>
      <c r="AG19" s="283" t="s">
        <v>41</v>
      </c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5"/>
      <c r="AT19" s="83" t="s">
        <v>5</v>
      </c>
      <c r="AU19" s="286">
        <f>SUM(AS10:AS12)</f>
        <v>0</v>
      </c>
      <c r="AV19" s="287"/>
      <c r="AW19" s="84">
        <f>SUM(AT10:AT12)</f>
        <v>0</v>
      </c>
      <c r="AX19" s="84">
        <f>SUM(AV10:AV12)</f>
        <v>0</v>
      </c>
      <c r="AY19" s="84">
        <f>SUM(AU10:AU12)</f>
        <v>0</v>
      </c>
      <c r="AZ19" s="84">
        <f>SUM(AW10:AW12)</f>
        <v>0</v>
      </c>
      <c r="BA19" s="286">
        <f>SUM(AU19:AZ19)</f>
        <v>0</v>
      </c>
      <c r="BB19" s="287"/>
    </row>
    <row r="20" spans="18:62" ht="60.75" customHeight="1">
      <c r="S20" s="78">
        <v>3</v>
      </c>
      <c r="T20" s="278"/>
      <c r="U20" s="279"/>
      <c r="V20" s="280"/>
      <c r="W20" s="281"/>
      <c r="X20" s="79" t="str">
        <f>TEXT(MOD(V20-T20,1),"h:mm")</f>
        <v>0:00</v>
      </c>
      <c r="Y20" s="80"/>
      <c r="Z20" s="327"/>
      <c r="AA20" s="327"/>
      <c r="AB20" s="327"/>
      <c r="AC20" s="327"/>
      <c r="AD20" s="327"/>
      <c r="AE20" s="327"/>
      <c r="AF20" s="327"/>
      <c r="AG20" s="311">
        <f>SUM(BB7:BB9)</f>
        <v>0</v>
      </c>
      <c r="AH20" s="328"/>
      <c r="AI20" s="311">
        <f>SUM(BB10:BB12)</f>
        <v>0</v>
      </c>
      <c r="AJ20" s="328"/>
      <c r="AK20" s="94"/>
      <c r="AL20" s="311">
        <f>SUM(BB13:BB15)</f>
        <v>0</v>
      </c>
      <c r="AM20" s="329"/>
      <c r="AN20" s="328"/>
      <c r="AO20" s="311">
        <f>SUM(AG20:AN20)</f>
        <v>0</v>
      </c>
      <c r="AP20" s="312"/>
      <c r="AQ20" s="312"/>
      <c r="AR20" s="312"/>
      <c r="AS20" s="313"/>
      <c r="AT20" s="91" t="s">
        <v>65</v>
      </c>
      <c r="AU20" s="314">
        <f>SUM(AS13:AS15)</f>
        <v>0</v>
      </c>
      <c r="AV20" s="315"/>
      <c r="AW20" s="99">
        <f>SUM(AT13:AT15)</f>
        <v>0</v>
      </c>
      <c r="AX20" s="99">
        <f>SUM(AV13:AV15)</f>
        <v>0</v>
      </c>
      <c r="AY20" s="99">
        <f>SUM(AU13:AU15)</f>
        <v>0</v>
      </c>
      <c r="AZ20" s="99">
        <f>SUM(AW13:AW15)</f>
        <v>0</v>
      </c>
      <c r="BA20" s="316">
        <f>SUM(AU20:AZ20)</f>
        <v>0</v>
      </c>
      <c r="BB20" s="317"/>
    </row>
    <row r="21" spans="18:62" ht="60.75" customHeight="1">
      <c r="S21" s="78">
        <v>4</v>
      </c>
      <c r="T21" s="278"/>
      <c r="U21" s="279"/>
      <c r="V21" s="280"/>
      <c r="W21" s="281"/>
      <c r="X21" s="79" t="str">
        <f>TEXT(MOD(V21-T21,1),"h:mm")</f>
        <v>0:00</v>
      </c>
      <c r="Y21" s="80"/>
      <c r="Z21" s="318"/>
      <c r="AA21" s="318"/>
      <c r="AB21" s="318"/>
      <c r="AC21" s="318"/>
      <c r="AD21" s="318"/>
      <c r="AE21" s="318"/>
      <c r="AF21" s="318"/>
      <c r="AG21" s="319" t="s">
        <v>54</v>
      </c>
      <c r="AH21" s="320"/>
      <c r="AI21" s="320"/>
      <c r="AJ21" s="320"/>
      <c r="AK21" s="320"/>
      <c r="AL21" s="320"/>
      <c r="AM21" s="320"/>
      <c r="AN21" s="320"/>
      <c r="AO21" s="320"/>
      <c r="AP21" s="320"/>
      <c r="AQ21" s="320"/>
      <c r="AR21" s="320"/>
      <c r="AS21" s="321"/>
      <c r="AT21" s="322" t="s">
        <v>55</v>
      </c>
      <c r="AU21" s="323"/>
      <c r="AV21" s="324"/>
      <c r="AW21" s="325">
        <v>1680</v>
      </c>
      <c r="AX21" s="326"/>
      <c r="AY21" s="322" t="s">
        <v>56</v>
      </c>
      <c r="AZ21" s="324"/>
      <c r="BA21" s="330">
        <v>1628</v>
      </c>
      <c r="BB21" s="331"/>
    </row>
    <row r="22" spans="18:62" ht="54" customHeight="1">
      <c r="S22" s="78">
        <v>5</v>
      </c>
      <c r="T22" s="278"/>
      <c r="U22" s="279"/>
      <c r="V22" s="280"/>
      <c r="W22" s="281"/>
      <c r="X22" s="79" t="str">
        <f>TEXT(MOD(V22-T22,1),"h:mm")</f>
        <v>0:00</v>
      </c>
      <c r="Y22" s="80"/>
      <c r="Z22" s="318"/>
      <c r="AA22" s="318"/>
      <c r="AB22" s="318"/>
      <c r="AC22" s="318"/>
      <c r="AD22" s="318"/>
      <c r="AE22" s="318"/>
      <c r="AF22" s="318"/>
      <c r="AG22" s="357">
        <f>SUM(AY7:BA9)</f>
        <v>0</v>
      </c>
      <c r="AH22" s="357"/>
      <c r="AI22" s="298">
        <f>SUM(AY10:BA12)</f>
        <v>0</v>
      </c>
      <c r="AJ22" s="298"/>
      <c r="AK22" s="95"/>
      <c r="AL22" s="358">
        <f>SUM(AY13:BA15)</f>
        <v>0</v>
      </c>
      <c r="AM22" s="358"/>
      <c r="AN22" s="359"/>
      <c r="AO22" s="360">
        <f>SUM(AG22:AN22)</f>
        <v>0</v>
      </c>
      <c r="AP22" s="361"/>
      <c r="AQ22" s="361"/>
      <c r="AR22" s="361"/>
      <c r="AS22" s="362"/>
      <c r="AT22" s="98" t="s">
        <v>69</v>
      </c>
      <c r="AU22" s="363" t="s">
        <v>48</v>
      </c>
      <c r="AV22" s="364"/>
      <c r="AW22" s="365" t="s">
        <v>49</v>
      </c>
      <c r="AX22" s="366"/>
      <c r="AY22" s="332" t="s">
        <v>68</v>
      </c>
      <c r="AZ22" s="333"/>
      <c r="BA22" s="334" t="s">
        <v>57</v>
      </c>
      <c r="BB22" s="335"/>
    </row>
    <row r="23" spans="18:62" ht="59.25" customHeight="1">
      <c r="S23" s="336" t="s">
        <v>61</v>
      </c>
      <c r="T23" s="337"/>
      <c r="U23" s="337"/>
      <c r="V23" s="337"/>
      <c r="W23" s="338"/>
      <c r="X23" s="85">
        <f>SUM(X18+X19+X20+X21+X22)</f>
        <v>0</v>
      </c>
      <c r="Y23" s="134" t="s">
        <v>62</v>
      </c>
      <c r="Z23" s="86"/>
      <c r="AA23" s="87"/>
      <c r="AB23" s="87"/>
      <c r="AC23" s="339" t="s">
        <v>63</v>
      </c>
      <c r="AD23" s="339"/>
      <c r="AE23" s="340"/>
      <c r="AF23" s="341"/>
      <c r="AG23" s="342" t="s">
        <v>22</v>
      </c>
      <c r="AH23" s="343"/>
      <c r="AI23" s="344"/>
      <c r="AJ23" s="345" t="s">
        <v>48</v>
      </c>
      <c r="AK23" s="346"/>
      <c r="AL23" s="346"/>
      <c r="AM23" s="347"/>
      <c r="AN23" s="348" t="s">
        <v>49</v>
      </c>
      <c r="AO23" s="348"/>
      <c r="AP23" s="348"/>
      <c r="AQ23" s="349" t="s">
        <v>68</v>
      </c>
      <c r="AR23" s="350"/>
      <c r="AS23" s="351"/>
      <c r="AT23" s="96" t="s">
        <v>60</v>
      </c>
      <c r="AU23" s="352">
        <f>SUM(AQ7:AQ9)</f>
        <v>0</v>
      </c>
      <c r="AV23" s="353"/>
      <c r="AW23" s="352">
        <f>SUM(AQ10:AQ12)</f>
        <v>0</v>
      </c>
      <c r="AX23" s="354"/>
      <c r="AY23" s="352">
        <f>SUM(AQ13:AQ15)</f>
        <v>0</v>
      </c>
      <c r="AZ23" s="353"/>
      <c r="BA23" s="355">
        <f>SUM(AU23:AZ23)</f>
        <v>0</v>
      </c>
      <c r="BB23" s="356"/>
    </row>
    <row r="24" spans="18:62" ht="57" customHeight="1">
      <c r="S24" s="367"/>
      <c r="T24" s="368"/>
      <c r="U24" s="368"/>
      <c r="V24" s="368"/>
      <c r="W24" s="369"/>
      <c r="X24" s="373" t="s">
        <v>73</v>
      </c>
      <c r="Y24" s="104" t="s">
        <v>70</v>
      </c>
      <c r="Z24" s="105" t="s">
        <v>71</v>
      </c>
      <c r="AA24" s="103"/>
      <c r="AB24" s="103"/>
      <c r="AC24" s="375" t="s">
        <v>72</v>
      </c>
      <c r="AD24" s="376"/>
      <c r="AE24" s="377" t="s">
        <v>57</v>
      </c>
      <c r="AF24" s="378"/>
      <c r="AG24" s="379" t="s">
        <v>58</v>
      </c>
      <c r="AH24" s="380"/>
      <c r="AI24" s="381"/>
      <c r="AJ24" s="382">
        <f>AVERAGE(Z7:Z9)</f>
        <v>0</v>
      </c>
      <c r="AK24" s="383"/>
      <c r="AL24" s="383"/>
      <c r="AM24" s="383"/>
      <c r="AN24" s="382">
        <f>AVERAGE(Z10:Z11)</f>
        <v>0</v>
      </c>
      <c r="AO24" s="383"/>
      <c r="AP24" s="383"/>
      <c r="AQ24" s="382">
        <f>AVERAGE(Z13:Z14)</f>
        <v>0</v>
      </c>
      <c r="AR24" s="383"/>
      <c r="AS24" s="383"/>
      <c r="AT24" s="97" t="s">
        <v>64</v>
      </c>
      <c r="AU24" s="387">
        <f>SUM(AL7:AP9)</f>
        <v>0</v>
      </c>
      <c r="AV24" s="388"/>
      <c r="AW24" s="387">
        <f>SUM(AL10:AP12)</f>
        <v>0</v>
      </c>
      <c r="AX24" s="388"/>
      <c r="AY24" s="387">
        <f>SUM(AL13:AP15)</f>
        <v>0</v>
      </c>
      <c r="AZ24" s="388"/>
      <c r="BA24" s="389">
        <f>SUM(AU24:AZ24)</f>
        <v>0</v>
      </c>
      <c r="BB24" s="390"/>
    </row>
    <row r="25" spans="18:62" ht="52.5" customHeight="1">
      <c r="S25" s="370"/>
      <c r="T25" s="371"/>
      <c r="U25" s="371"/>
      <c r="V25" s="371"/>
      <c r="W25" s="372"/>
      <c r="X25" s="374"/>
      <c r="Y25" s="106">
        <f>SUM(AD7:AD9)</f>
        <v>0</v>
      </c>
      <c r="Z25" s="106">
        <f>SUM(AD10:AD12)</f>
        <v>0</v>
      </c>
      <c r="AA25" s="107"/>
      <c r="AB25" s="107"/>
      <c r="AC25" s="391">
        <f>SUM(AD13:AD14)</f>
        <v>0</v>
      </c>
      <c r="AD25" s="392"/>
      <c r="AE25" s="393">
        <f>SUM(Y25:AD25)</f>
        <v>0</v>
      </c>
      <c r="AF25" s="394"/>
      <c r="AG25" s="379" t="s">
        <v>59</v>
      </c>
      <c r="AH25" s="380"/>
      <c r="AI25" s="381"/>
      <c r="AJ25" s="382">
        <f>SUM(Z7:Z9)</f>
        <v>0</v>
      </c>
      <c r="AK25" s="383"/>
      <c r="AL25" s="383"/>
      <c r="AM25" s="383"/>
      <c r="AN25" s="382">
        <f>SUM(Z10:Z12)</f>
        <v>0</v>
      </c>
      <c r="AO25" s="383"/>
      <c r="AP25" s="383"/>
      <c r="AQ25" s="382">
        <f>SUM(Z13:Z15)</f>
        <v>0</v>
      </c>
      <c r="AR25" s="383"/>
      <c r="AS25" s="383"/>
      <c r="AT25" s="384"/>
      <c r="AU25" s="385"/>
      <c r="AV25" s="385"/>
      <c r="AW25" s="385"/>
      <c r="AX25" s="385"/>
      <c r="AY25" s="385"/>
      <c r="AZ25" s="385"/>
      <c r="BA25" s="385"/>
      <c r="BB25" s="386"/>
    </row>
    <row r="26" spans="18:62" ht="60.75" customHeight="1"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8:62" ht="30" customHeight="1"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8:62" ht="30" customHeight="1"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T28" s="4"/>
      <c r="AU28" s="4"/>
      <c r="AV28" s="4"/>
      <c r="AW28" s="4"/>
      <c r="AX28" s="4"/>
      <c r="AY28" s="4"/>
      <c r="AZ28" s="4"/>
      <c r="BA28" s="4"/>
    </row>
    <row r="29" spans="18:62" ht="30" customHeight="1"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T29" s="4"/>
      <c r="AU29" s="4"/>
      <c r="AV29" s="4"/>
      <c r="AW29" s="4"/>
      <c r="AX29" s="4"/>
      <c r="AY29" s="4"/>
      <c r="AZ29" s="4"/>
      <c r="BA29" s="4"/>
    </row>
    <row r="30" spans="18:62" ht="30" customHeight="1">
      <c r="R30" s="3"/>
      <c r="S30" s="3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T30" s="4"/>
      <c r="AU30" s="4"/>
      <c r="AV30" s="4"/>
      <c r="AW30" s="4"/>
      <c r="AX30" s="4"/>
      <c r="AY30" s="4"/>
      <c r="AZ30" s="4"/>
      <c r="BA30" s="4"/>
    </row>
    <row r="31" spans="18:62" ht="30" customHeight="1">
      <c r="R31" s="3"/>
      <c r="S31" s="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T31" s="4"/>
      <c r="AU31" s="4"/>
      <c r="AV31" s="4"/>
      <c r="AW31" s="4"/>
      <c r="AX31" s="4"/>
      <c r="AY31" s="4"/>
      <c r="AZ31" s="4"/>
      <c r="BA31" s="4"/>
    </row>
    <row r="32" spans="18:62" ht="15" customHeight="1">
      <c r="S32" s="3"/>
      <c r="BJ32" s="4">
        <v>8</v>
      </c>
    </row>
  </sheetData>
  <mergeCells count="145">
    <mergeCell ref="S24:W25"/>
    <mergeCell ref="X24:X25"/>
    <mergeCell ref="AC24:AD24"/>
    <mergeCell ref="AE24:AF24"/>
    <mergeCell ref="AG24:AI24"/>
    <mergeCell ref="AJ24:AM24"/>
    <mergeCell ref="AN24:AP24"/>
    <mergeCell ref="AQ25:AS25"/>
    <mergeCell ref="AT25:BB25"/>
    <mergeCell ref="AQ24:AS24"/>
    <mergeCell ref="AU24:AV24"/>
    <mergeCell ref="AW24:AX24"/>
    <mergeCell ref="AY24:AZ24"/>
    <mergeCell ref="BA24:BB24"/>
    <mergeCell ref="AC25:AD25"/>
    <mergeCell ref="AE25:AF25"/>
    <mergeCell ref="AG25:AI25"/>
    <mergeCell ref="AJ25:AM25"/>
    <mergeCell ref="AN25:AP25"/>
    <mergeCell ref="AY22:AZ22"/>
    <mergeCell ref="BA22:BB22"/>
    <mergeCell ref="S23:W23"/>
    <mergeCell ref="AC23:AD23"/>
    <mergeCell ref="AE23:AF23"/>
    <mergeCell ref="AG23:AI23"/>
    <mergeCell ref="AJ23:AM23"/>
    <mergeCell ref="AN23:AP23"/>
    <mergeCell ref="AQ23:AS23"/>
    <mergeCell ref="AU23:AV23"/>
    <mergeCell ref="AW23:AX23"/>
    <mergeCell ref="AY23:AZ23"/>
    <mergeCell ref="BA23:BB23"/>
    <mergeCell ref="T22:U22"/>
    <mergeCell ref="V22:W22"/>
    <mergeCell ref="Z22:AF22"/>
    <mergeCell ref="AG22:AH22"/>
    <mergeCell ref="AI22:AJ22"/>
    <mergeCell ref="AL22:AN22"/>
    <mergeCell ref="AO22:AS22"/>
    <mergeCell ref="AU22:AV22"/>
    <mergeCell ref="AW22:AX22"/>
    <mergeCell ref="AO20:AS20"/>
    <mergeCell ref="AU20:AV20"/>
    <mergeCell ref="BA20:BB20"/>
    <mergeCell ref="T21:U21"/>
    <mergeCell ref="V21:W21"/>
    <mergeCell ref="Z21:AF21"/>
    <mergeCell ref="AG21:AS21"/>
    <mergeCell ref="AT21:AV21"/>
    <mergeCell ref="AW21:AX21"/>
    <mergeCell ref="AY21:AZ21"/>
    <mergeCell ref="T20:U20"/>
    <mergeCell ref="V20:W20"/>
    <mergeCell ref="Z20:AF20"/>
    <mergeCell ref="AG20:AH20"/>
    <mergeCell ref="AI20:AJ20"/>
    <mergeCell ref="AL20:AN20"/>
    <mergeCell ref="BA21:BB21"/>
    <mergeCell ref="AU18:AV18"/>
    <mergeCell ref="BA18:BB18"/>
    <mergeCell ref="T19:U19"/>
    <mergeCell ref="V19:W19"/>
    <mergeCell ref="Z19:AF19"/>
    <mergeCell ref="AG19:AS19"/>
    <mergeCell ref="AU19:AV19"/>
    <mergeCell ref="BA19:BB19"/>
    <mergeCell ref="AO17:AS17"/>
    <mergeCell ref="AU17:AV17"/>
    <mergeCell ref="BA17:BB17"/>
    <mergeCell ref="T18:U18"/>
    <mergeCell ref="V18:W18"/>
    <mergeCell ref="Z18:AF18"/>
    <mergeCell ref="AG18:AH18"/>
    <mergeCell ref="AI18:AJ18"/>
    <mergeCell ref="AL18:AN18"/>
    <mergeCell ref="AO18:AS18"/>
    <mergeCell ref="T17:U17"/>
    <mergeCell ref="V17:W17"/>
    <mergeCell ref="Z17:AF17"/>
    <mergeCell ref="AG17:AH17"/>
    <mergeCell ref="AI17:AJ17"/>
    <mergeCell ref="AL17:AN17"/>
    <mergeCell ref="S16:AF16"/>
    <mergeCell ref="AG16:AS16"/>
    <mergeCell ref="AT16:BB16"/>
    <mergeCell ref="AU5:AU6"/>
    <mergeCell ref="AV5:AV6"/>
    <mergeCell ref="AW5:AW6"/>
    <mergeCell ref="AX5:AX6"/>
    <mergeCell ref="AY5:AY6"/>
    <mergeCell ref="AZ5:AZ6"/>
    <mergeCell ref="AH5:AH6"/>
    <mergeCell ref="AI5:AI6"/>
    <mergeCell ref="AJ5:AJ6"/>
    <mergeCell ref="AK5:AR5"/>
    <mergeCell ref="AS5:AS6"/>
    <mergeCell ref="AT5:AT6"/>
    <mergeCell ref="AB5:AB6"/>
    <mergeCell ref="AC5:AC6"/>
    <mergeCell ref="AD5:AD6"/>
    <mergeCell ref="AE5:AE6"/>
    <mergeCell ref="S4:Z4"/>
    <mergeCell ref="AA4:AB4"/>
    <mergeCell ref="AC4:AD4"/>
    <mergeCell ref="AE4:AJ4"/>
    <mergeCell ref="AL4:AQ4"/>
    <mergeCell ref="AS4:AW4"/>
    <mergeCell ref="T7:T9"/>
    <mergeCell ref="T10:T12"/>
    <mergeCell ref="T13:T15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Q1:AT1"/>
    <mergeCell ref="AU1:AW1"/>
    <mergeCell ref="AF5:AF6"/>
    <mergeCell ref="AG5:AG6"/>
    <mergeCell ref="AX1:BB3"/>
    <mergeCell ref="AC2:AE2"/>
    <mergeCell ref="AF2:AH2"/>
    <mergeCell ref="AI2:AL2"/>
    <mergeCell ref="AM2:AP2"/>
    <mergeCell ref="AQ2:AT2"/>
    <mergeCell ref="AU2:AW2"/>
    <mergeCell ref="AC3:AE3"/>
    <mergeCell ref="AQ3:AT3"/>
    <mergeCell ref="AU3:AW3"/>
    <mergeCell ref="AX4:BB4"/>
    <mergeCell ref="BA5:BA6"/>
    <mergeCell ref="BB5:BB6"/>
    <mergeCell ref="S1:W3"/>
    <mergeCell ref="X1:Y3"/>
    <mergeCell ref="AC1:AE1"/>
    <mergeCell ref="AF1:AH1"/>
    <mergeCell ref="AI1:AL1"/>
    <mergeCell ref="AM1:AP1"/>
    <mergeCell ref="AF3:AH3"/>
    <mergeCell ref="AI3:AL3"/>
    <mergeCell ref="AM3:AP3"/>
  </mergeCells>
  <conditionalFormatting sqref="Z7:Z15">
    <cfRule type="cellIs" dxfId="233" priority="3" operator="greaterThan">
      <formula>0.167361111111111</formula>
    </cfRule>
    <cfRule type="cellIs" dxfId="232" priority="4" operator="greaterThan">
      <formula>0.15625</formula>
    </cfRule>
  </conditionalFormatting>
  <conditionalFormatting sqref="AA7:AJ15">
    <cfRule type="cellIs" dxfId="231" priority="11" operator="between">
      <formula>1700</formula>
      <formula>1710</formula>
    </cfRule>
    <cfRule type="cellIs" dxfId="230" priority="12" operator="between">
      <formula>1691</formula>
      <formula>1700</formula>
    </cfRule>
  </conditionalFormatting>
  <conditionalFormatting sqref="AS7:AS15">
    <cfRule type="expression" dxfId="229" priority="13">
      <formula>IF(($AS7/$AX7)*1000&gt;$AY$1,1,0)</formula>
    </cfRule>
  </conditionalFormatting>
  <conditionalFormatting sqref="AT7:AW15">
    <cfRule type="cellIs" dxfId="228" priority="5" operator="greaterThan">
      <formula>10</formula>
    </cfRule>
  </conditionalFormatting>
  <conditionalFormatting sqref="AX7:AX15">
    <cfRule type="cellIs" dxfId="227" priority="2" operator="between">
      <formula>16000</formula>
      <formula>17200</formula>
    </cfRule>
    <cfRule type="cellIs" dxfId="226" priority="6" operator="lessThan">
      <formula>15800</formula>
    </cfRule>
    <cfRule type="cellIs" dxfId="225" priority="7" operator="greaterThan">
      <formula>18000</formula>
    </cfRule>
  </conditionalFormatting>
  <conditionalFormatting sqref="AZ7:BA15">
    <cfRule type="cellIs" dxfId="224" priority="10" operator="greaterThan">
      <formula>0</formula>
    </cfRule>
  </conditionalFormatting>
  <conditionalFormatting sqref="BB7:BB15">
    <cfRule type="cellIs" dxfId="223" priority="1" operator="between">
      <formula>16000</formula>
      <formula>17200</formula>
    </cfRule>
    <cfRule type="cellIs" dxfId="222" priority="8" operator="greaterThan">
      <formula>18000</formula>
    </cfRule>
    <cfRule type="cellIs" dxfId="221" priority="9" operator="lessThan">
      <formula>15800</formula>
    </cfRule>
  </conditionalFormatting>
  <printOptions horizontalCentered="1" verticalCentered="1"/>
  <pageMargins left="0" right="0" top="0" bottom="0.21" header="0" footer="0"/>
  <pageSetup paperSize="9" scale="42" orientation="landscape" cellComments="asDisplayed" r:id="rId1"/>
  <headerFooter differentFirst="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8AF07-AEEC-4DED-A671-426DBA2F1A98}">
  <sheetPr>
    <tabColor theme="5"/>
    <pageSetUpPr fitToPage="1"/>
  </sheetPr>
  <dimension ref="R1:BJ32"/>
  <sheetViews>
    <sheetView showGridLines="0" rightToLeft="1" topLeftCell="M1" zoomScale="55" zoomScaleNormal="55" zoomScalePageLayoutView="40" workbookViewId="0">
      <selection activeCell="AQ10" sqref="AQ10"/>
    </sheetView>
  </sheetViews>
  <sheetFormatPr defaultColWidth="9.140625" defaultRowHeight="15"/>
  <cols>
    <col min="1" max="18" width="9.140625" style="4"/>
    <col min="19" max="19" width="5.7109375" style="4" customWidth="1"/>
    <col min="20" max="20" width="9.5703125" style="3" customWidth="1"/>
    <col min="21" max="21" width="10.7109375" style="3" customWidth="1"/>
    <col min="22" max="22" width="9.42578125" style="88" customWidth="1"/>
    <col min="23" max="23" width="8.85546875" style="88" customWidth="1"/>
    <col min="24" max="24" width="14.42578125" style="3" customWidth="1"/>
    <col min="25" max="25" width="14.7109375" style="3" customWidth="1"/>
    <col min="26" max="26" width="15.140625" style="88" customWidth="1"/>
    <col min="27" max="27" width="9.5703125" style="3" hidden="1" customWidth="1"/>
    <col min="28" max="28" width="10" style="3" hidden="1" customWidth="1"/>
    <col min="29" max="29" width="8.140625" style="3" customWidth="1"/>
    <col min="30" max="30" width="8.5703125" style="3" customWidth="1"/>
    <col min="31" max="31" width="12.42578125" style="3" customWidth="1"/>
    <col min="32" max="32" width="10.5703125" style="3" customWidth="1"/>
    <col min="33" max="33" width="9.5703125" style="3" customWidth="1"/>
    <col min="34" max="34" width="11.42578125" style="3" customWidth="1"/>
    <col min="35" max="35" width="9.42578125" style="3" customWidth="1"/>
    <col min="36" max="36" width="9.28515625" style="3" customWidth="1"/>
    <col min="37" max="37" width="6.7109375" style="3" hidden="1" customWidth="1"/>
    <col min="38" max="42" width="6.7109375" style="3" customWidth="1"/>
    <col min="43" max="43" width="8.140625" style="3" customWidth="1"/>
    <col min="44" max="44" width="6.7109375" style="3" hidden="1" customWidth="1"/>
    <col min="45" max="45" width="10.42578125" style="3" customWidth="1"/>
    <col min="46" max="46" width="8.7109375" style="3" customWidth="1"/>
    <col min="47" max="47" width="8.5703125" style="3" customWidth="1"/>
    <col min="48" max="48" width="8.7109375" style="3" customWidth="1"/>
    <col min="49" max="49" width="9.5703125" style="3" customWidth="1"/>
    <col min="50" max="50" width="12.42578125" style="88" customWidth="1"/>
    <col min="51" max="51" width="11.85546875" style="3" customWidth="1"/>
    <col min="52" max="52" width="11.5703125" style="3" customWidth="1"/>
    <col min="53" max="53" width="13.42578125" style="3" customWidth="1"/>
    <col min="54" max="54" width="13.5703125" style="4" customWidth="1"/>
    <col min="55" max="57" width="9.140625" style="4"/>
    <col min="58" max="58" width="25" style="4" customWidth="1"/>
    <col min="59" max="61" width="9.140625" style="4"/>
    <col min="62" max="62" width="23.5703125" style="4" customWidth="1"/>
    <col min="63" max="16384" width="9.140625" style="4"/>
  </cols>
  <sheetData>
    <row r="1" spans="19:54" ht="36.75" customHeight="1" thickBot="1">
      <c r="S1" s="180"/>
      <c r="T1" s="181"/>
      <c r="U1" s="181"/>
      <c r="V1" s="181"/>
      <c r="W1" s="181"/>
      <c r="X1" s="182" t="s">
        <v>0</v>
      </c>
      <c r="Y1" s="183"/>
      <c r="Z1" s="1" t="s">
        <v>1</v>
      </c>
      <c r="AA1" s="2"/>
      <c r="AC1" s="188" t="s">
        <v>2</v>
      </c>
      <c r="AD1" s="189"/>
      <c r="AE1" s="189"/>
      <c r="AF1" s="190" t="s">
        <v>75</v>
      </c>
      <c r="AG1" s="191"/>
      <c r="AH1" s="192"/>
      <c r="AI1" s="193" t="s">
        <v>3</v>
      </c>
      <c r="AJ1" s="194"/>
      <c r="AK1" s="194"/>
      <c r="AL1" s="195"/>
      <c r="AM1" s="196" t="s">
        <v>76</v>
      </c>
      <c r="AN1" s="197"/>
      <c r="AO1" s="197"/>
      <c r="AP1" s="198"/>
      <c r="AQ1" s="203" t="s">
        <v>4</v>
      </c>
      <c r="AR1" s="204"/>
      <c r="AS1" s="204"/>
      <c r="AT1" s="205"/>
      <c r="AU1" s="206" t="s">
        <v>74</v>
      </c>
      <c r="AV1" s="207"/>
      <c r="AW1" s="208"/>
      <c r="AX1" s="211" t="s">
        <v>109</v>
      </c>
      <c r="AY1" s="211"/>
      <c r="AZ1" s="211"/>
      <c r="BA1" s="211"/>
      <c r="BB1" s="211"/>
    </row>
    <row r="2" spans="19:54" ht="36.75" customHeight="1" thickBot="1">
      <c r="S2" s="180"/>
      <c r="T2" s="181"/>
      <c r="U2" s="181"/>
      <c r="V2" s="181"/>
      <c r="W2" s="181"/>
      <c r="X2" s="184"/>
      <c r="Y2" s="185"/>
      <c r="Z2" s="5" t="s">
        <v>5</v>
      </c>
      <c r="AA2" s="89"/>
      <c r="AC2" s="188" t="s">
        <v>2</v>
      </c>
      <c r="AD2" s="189"/>
      <c r="AE2" s="212"/>
      <c r="AF2" s="190" t="s">
        <v>78</v>
      </c>
      <c r="AG2" s="191"/>
      <c r="AH2" s="192"/>
      <c r="AI2" s="193" t="s">
        <v>3</v>
      </c>
      <c r="AJ2" s="194"/>
      <c r="AK2" s="194"/>
      <c r="AL2" s="195"/>
      <c r="AM2" s="202" t="s">
        <v>79</v>
      </c>
      <c r="AN2" s="202"/>
      <c r="AO2" s="202"/>
      <c r="AP2" s="202"/>
      <c r="AQ2" s="203" t="s">
        <v>4</v>
      </c>
      <c r="AR2" s="204"/>
      <c r="AS2" s="204"/>
      <c r="AT2" s="205"/>
      <c r="AU2" s="213" t="s">
        <v>77</v>
      </c>
      <c r="AV2" s="213"/>
      <c r="AW2" s="213"/>
      <c r="AX2" s="211"/>
      <c r="AY2" s="211"/>
      <c r="AZ2" s="211"/>
      <c r="BA2" s="211"/>
      <c r="BB2" s="211"/>
    </row>
    <row r="3" spans="19:54" ht="38.25" customHeight="1" thickBot="1">
      <c r="S3" s="181"/>
      <c r="T3" s="181"/>
      <c r="U3" s="181"/>
      <c r="V3" s="181"/>
      <c r="W3" s="181"/>
      <c r="X3" s="186"/>
      <c r="Y3" s="187"/>
      <c r="Z3" s="90" t="s">
        <v>65</v>
      </c>
      <c r="AA3" s="6"/>
      <c r="AC3" s="188" t="s">
        <v>6</v>
      </c>
      <c r="AD3" s="189"/>
      <c r="AE3" s="212"/>
      <c r="AF3" s="190" t="s">
        <v>81</v>
      </c>
      <c r="AG3" s="191"/>
      <c r="AH3" s="192"/>
      <c r="AI3" s="199" t="s">
        <v>7</v>
      </c>
      <c r="AJ3" s="200"/>
      <c r="AK3" s="200"/>
      <c r="AL3" s="201"/>
      <c r="AM3" s="202" t="s">
        <v>82</v>
      </c>
      <c r="AN3" s="202"/>
      <c r="AO3" s="202"/>
      <c r="AP3" s="202"/>
      <c r="AQ3" s="203" t="s">
        <v>4</v>
      </c>
      <c r="AR3" s="204"/>
      <c r="AS3" s="204"/>
      <c r="AT3" s="214"/>
      <c r="AU3" s="215" t="s">
        <v>80</v>
      </c>
      <c r="AV3" s="216"/>
      <c r="AW3" s="217"/>
      <c r="AX3" s="211"/>
      <c r="AY3" s="211"/>
      <c r="AZ3" s="211"/>
      <c r="BA3" s="211"/>
      <c r="BB3" s="211"/>
    </row>
    <row r="4" spans="19:54" ht="34.5" customHeight="1" thickBot="1">
      <c r="S4" s="225" t="s">
        <v>8</v>
      </c>
      <c r="T4" s="226"/>
      <c r="U4" s="226"/>
      <c r="V4" s="226"/>
      <c r="W4" s="226"/>
      <c r="X4" s="227"/>
      <c r="Y4" s="227"/>
      <c r="Z4" s="228"/>
      <c r="AA4" s="229" t="s">
        <v>9</v>
      </c>
      <c r="AB4" s="230"/>
      <c r="AC4" s="231" t="s">
        <v>10</v>
      </c>
      <c r="AD4" s="232"/>
      <c r="AE4" s="233" t="s">
        <v>11</v>
      </c>
      <c r="AF4" s="234"/>
      <c r="AG4" s="234"/>
      <c r="AH4" s="234"/>
      <c r="AI4" s="234"/>
      <c r="AJ4" s="235"/>
      <c r="AK4" s="7"/>
      <c r="AL4" s="236" t="s">
        <v>12</v>
      </c>
      <c r="AM4" s="237"/>
      <c r="AN4" s="237"/>
      <c r="AO4" s="237"/>
      <c r="AP4" s="237"/>
      <c r="AQ4" s="237"/>
      <c r="AR4" s="8"/>
      <c r="AS4" s="238" t="s">
        <v>13</v>
      </c>
      <c r="AT4" s="239"/>
      <c r="AU4" s="239"/>
      <c r="AV4" s="239"/>
      <c r="AW4" s="240"/>
      <c r="AX4" s="218" t="s">
        <v>14</v>
      </c>
      <c r="AY4" s="219"/>
      <c r="AZ4" s="219"/>
      <c r="BA4" s="219"/>
      <c r="BB4" s="220"/>
    </row>
    <row r="5" spans="19:54" ht="52.5" customHeight="1">
      <c r="S5" s="246" t="s">
        <v>15</v>
      </c>
      <c r="T5" s="248" t="s">
        <v>16</v>
      </c>
      <c r="U5" s="248" t="s">
        <v>17</v>
      </c>
      <c r="V5" s="248" t="s">
        <v>18</v>
      </c>
      <c r="W5" s="248" t="s">
        <v>19</v>
      </c>
      <c r="X5" s="248" t="s">
        <v>20</v>
      </c>
      <c r="Y5" s="248" t="s">
        <v>21</v>
      </c>
      <c r="Z5" s="250" t="s">
        <v>22</v>
      </c>
      <c r="AA5" s="252" t="s">
        <v>23</v>
      </c>
      <c r="AB5" s="270" t="s">
        <v>9</v>
      </c>
      <c r="AC5" s="272" t="s">
        <v>24</v>
      </c>
      <c r="AD5" s="272" t="s">
        <v>25</v>
      </c>
      <c r="AE5" s="274" t="s">
        <v>26</v>
      </c>
      <c r="AF5" s="209" t="s">
        <v>27</v>
      </c>
      <c r="AG5" s="209" t="s">
        <v>28</v>
      </c>
      <c r="AH5" s="263" t="s">
        <v>29</v>
      </c>
      <c r="AI5" s="263" t="s">
        <v>30</v>
      </c>
      <c r="AJ5" s="265" t="s">
        <v>31</v>
      </c>
      <c r="AK5" s="267" t="s">
        <v>32</v>
      </c>
      <c r="AL5" s="268"/>
      <c r="AM5" s="268"/>
      <c r="AN5" s="268"/>
      <c r="AO5" s="268"/>
      <c r="AP5" s="268"/>
      <c r="AQ5" s="268"/>
      <c r="AR5" s="269"/>
      <c r="AS5" s="259" t="s">
        <v>33</v>
      </c>
      <c r="AT5" s="259" t="s">
        <v>34</v>
      </c>
      <c r="AU5" s="259" t="s">
        <v>35</v>
      </c>
      <c r="AV5" s="259" t="s">
        <v>66</v>
      </c>
      <c r="AW5" s="261" t="s">
        <v>36</v>
      </c>
      <c r="AX5" s="252" t="s">
        <v>37</v>
      </c>
      <c r="AY5" s="221" t="s">
        <v>38</v>
      </c>
      <c r="AZ5" s="221" t="s">
        <v>39</v>
      </c>
      <c r="BA5" s="221" t="s">
        <v>40</v>
      </c>
      <c r="BB5" s="223" t="s">
        <v>41</v>
      </c>
    </row>
    <row r="6" spans="19:54" ht="27.95" customHeight="1" thickBot="1">
      <c r="S6" s="247"/>
      <c r="T6" s="249"/>
      <c r="U6" s="249"/>
      <c r="V6" s="249"/>
      <c r="W6" s="249"/>
      <c r="X6" s="249"/>
      <c r="Y6" s="249"/>
      <c r="Z6" s="251"/>
      <c r="AA6" s="253"/>
      <c r="AB6" s="271"/>
      <c r="AC6" s="273"/>
      <c r="AD6" s="273"/>
      <c r="AE6" s="275"/>
      <c r="AF6" s="210"/>
      <c r="AG6" s="210"/>
      <c r="AH6" s="264"/>
      <c r="AI6" s="264"/>
      <c r="AJ6" s="266"/>
      <c r="AK6" s="9">
        <v>1</v>
      </c>
      <c r="AL6" s="10">
        <v>2</v>
      </c>
      <c r="AM6" s="10">
        <v>3</v>
      </c>
      <c r="AN6" s="10">
        <v>4</v>
      </c>
      <c r="AO6" s="10">
        <v>5</v>
      </c>
      <c r="AP6" s="10">
        <v>6</v>
      </c>
      <c r="AQ6" s="10">
        <v>12</v>
      </c>
      <c r="AR6" s="11"/>
      <c r="AS6" s="260"/>
      <c r="AT6" s="260"/>
      <c r="AU6" s="260"/>
      <c r="AV6" s="260"/>
      <c r="AW6" s="262"/>
      <c r="AX6" s="253"/>
      <c r="AY6" s="222"/>
      <c r="AZ6" s="222"/>
      <c r="BA6" s="222"/>
      <c r="BB6" s="224"/>
    </row>
    <row r="7" spans="19:54" s="34" customFormat="1" ht="48" customHeight="1" thickBot="1">
      <c r="S7" s="12">
        <v>1</v>
      </c>
      <c r="T7" s="241" t="s">
        <v>1</v>
      </c>
      <c r="U7" s="13"/>
      <c r="V7" s="14"/>
      <c r="W7" s="15"/>
      <c r="X7" s="16"/>
      <c r="Y7" s="17"/>
      <c r="Z7" s="18">
        <f t="shared" ref="Z7:Z15" si="0">IF(Y7&lt;X7,1+Y7-X7,Y7-X7)</f>
        <v>0</v>
      </c>
      <c r="AA7" s="19"/>
      <c r="AB7" s="20"/>
      <c r="AC7" s="21"/>
      <c r="AD7" s="100"/>
      <c r="AE7" s="22"/>
      <c r="AF7" s="23"/>
      <c r="AG7" s="23"/>
      <c r="AH7" s="23"/>
      <c r="AI7" s="23"/>
      <c r="AJ7" s="24"/>
      <c r="AK7" s="25"/>
      <c r="AL7" s="26"/>
      <c r="AM7" s="26"/>
      <c r="AN7" s="26"/>
      <c r="AO7" s="26"/>
      <c r="AP7" s="26"/>
      <c r="AQ7" s="26"/>
      <c r="AR7" s="27"/>
      <c r="AS7" s="28"/>
      <c r="AT7" s="13"/>
      <c r="AU7" s="13"/>
      <c r="AV7" s="13"/>
      <c r="AW7" s="29"/>
      <c r="AX7" s="30">
        <f t="shared" ref="AX7:AX15" si="1">SUM(AY7:BB7)</f>
        <v>0</v>
      </c>
      <c r="AY7" s="31">
        <v>0</v>
      </c>
      <c r="AZ7" s="32">
        <v>0</v>
      </c>
      <c r="BA7" s="31">
        <v>0</v>
      </c>
      <c r="BB7" s="33">
        <f t="shared" ref="BB7:BB15" si="2">SUM(($AQ$6*AQ7+$AP$6*AP7+$AN$6*AN7+$AM$6*$AM7+$AL$6*AL7+$AK$6*AK7+$AO$6*AO7+$AR$6*AR7)*175)</f>
        <v>0</v>
      </c>
    </row>
    <row r="8" spans="19:54" s="34" customFormat="1" ht="48" customHeight="1" thickBot="1">
      <c r="S8" s="12">
        <v>2</v>
      </c>
      <c r="T8" s="242"/>
      <c r="U8" s="35"/>
      <c r="V8" s="131"/>
      <c r="W8" s="131"/>
      <c r="X8" s="36"/>
      <c r="Y8" s="36"/>
      <c r="Z8" s="37">
        <f t="shared" si="0"/>
        <v>0</v>
      </c>
      <c r="AA8" s="38"/>
      <c r="AB8" s="39"/>
      <c r="AC8" s="147"/>
      <c r="AD8" s="101"/>
      <c r="AE8" s="41"/>
      <c r="AF8" s="42"/>
      <c r="AG8" s="42"/>
      <c r="AH8" s="42"/>
      <c r="AI8" s="42"/>
      <c r="AJ8" s="43"/>
      <c r="AK8" s="44"/>
      <c r="AL8" s="45"/>
      <c r="AM8" s="45"/>
      <c r="AN8" s="45"/>
      <c r="AO8" s="45"/>
      <c r="AP8" s="45"/>
      <c r="AQ8" s="45"/>
      <c r="AR8" s="46"/>
      <c r="AS8" s="47"/>
      <c r="AT8" s="35"/>
      <c r="AU8" s="35"/>
      <c r="AV8" s="35"/>
      <c r="AW8" s="48"/>
      <c r="AX8" s="49">
        <f t="shared" si="1"/>
        <v>0</v>
      </c>
      <c r="AY8" s="50">
        <v>0</v>
      </c>
      <c r="AZ8" s="51">
        <v>0</v>
      </c>
      <c r="BA8" s="52">
        <v>0</v>
      </c>
      <c r="BB8" s="53">
        <f t="shared" si="2"/>
        <v>0</v>
      </c>
    </row>
    <row r="9" spans="19:54" s="34" customFormat="1" ht="48" customHeight="1" thickBot="1">
      <c r="S9" s="12">
        <v>3</v>
      </c>
      <c r="T9" s="242"/>
      <c r="U9" s="35"/>
      <c r="V9" s="131"/>
      <c r="W9" s="131"/>
      <c r="X9" s="36"/>
      <c r="Y9" s="36"/>
      <c r="Z9" s="37">
        <f t="shared" si="0"/>
        <v>0</v>
      </c>
      <c r="AA9" s="38"/>
      <c r="AB9" s="39"/>
      <c r="AC9" s="40"/>
      <c r="AD9" s="101"/>
      <c r="AE9" s="41"/>
      <c r="AF9" s="42"/>
      <c r="AG9" s="42"/>
      <c r="AH9" s="42"/>
      <c r="AI9" s="42"/>
      <c r="AJ9" s="43"/>
      <c r="AK9" s="44"/>
      <c r="AL9" s="45"/>
      <c r="AM9" s="45"/>
      <c r="AN9" s="45"/>
      <c r="AO9" s="45"/>
      <c r="AP9" s="45"/>
      <c r="AQ9" s="45"/>
      <c r="AR9" s="46"/>
      <c r="AS9" s="47"/>
      <c r="AT9" s="35"/>
      <c r="AU9" s="35"/>
      <c r="AV9" s="35"/>
      <c r="AW9" s="48"/>
      <c r="AX9" s="49">
        <f t="shared" si="1"/>
        <v>0</v>
      </c>
      <c r="AY9" s="51">
        <v>0</v>
      </c>
      <c r="AZ9" s="52">
        <v>0</v>
      </c>
      <c r="BA9" s="51">
        <v>0</v>
      </c>
      <c r="BB9" s="53">
        <f t="shared" si="2"/>
        <v>0</v>
      </c>
    </row>
    <row r="10" spans="19:54" s="34" customFormat="1" ht="48" customHeight="1" thickBot="1">
      <c r="S10" s="12">
        <v>4</v>
      </c>
      <c r="T10" s="243" t="s">
        <v>5</v>
      </c>
      <c r="U10" s="35"/>
      <c r="V10" s="131"/>
      <c r="W10" s="131"/>
      <c r="X10" s="36"/>
      <c r="Y10" s="36"/>
      <c r="Z10" s="37">
        <f t="shared" si="0"/>
        <v>0</v>
      </c>
      <c r="AA10" s="38"/>
      <c r="AB10" s="39"/>
      <c r="AC10" s="40"/>
      <c r="AD10" s="101"/>
      <c r="AE10" s="41"/>
      <c r="AF10" s="42"/>
      <c r="AG10" s="42"/>
      <c r="AH10" s="42"/>
      <c r="AI10" s="42"/>
      <c r="AJ10" s="43"/>
      <c r="AK10" s="44"/>
      <c r="AL10" s="45"/>
      <c r="AM10" s="45"/>
      <c r="AN10" s="45"/>
      <c r="AO10" s="45"/>
      <c r="AP10" s="45"/>
      <c r="AQ10" s="45"/>
      <c r="AR10" s="46"/>
      <c r="AS10" s="47"/>
      <c r="AT10" s="35"/>
      <c r="AU10" s="35"/>
      <c r="AV10" s="35"/>
      <c r="AW10" s="48"/>
      <c r="AX10" s="49">
        <f t="shared" si="1"/>
        <v>0</v>
      </c>
      <c r="AY10" s="51">
        <v>0</v>
      </c>
      <c r="AZ10" s="52">
        <v>0</v>
      </c>
      <c r="BA10" s="51">
        <v>0</v>
      </c>
      <c r="BB10" s="53">
        <f t="shared" si="2"/>
        <v>0</v>
      </c>
    </row>
    <row r="11" spans="19:54" s="34" customFormat="1" ht="48" customHeight="1" thickBot="1">
      <c r="S11" s="12">
        <v>5</v>
      </c>
      <c r="T11" s="243"/>
      <c r="U11" s="35"/>
      <c r="V11" s="131"/>
      <c r="W11" s="131"/>
      <c r="X11" s="36"/>
      <c r="Y11" s="120"/>
      <c r="Z11" s="37">
        <f t="shared" si="0"/>
        <v>0</v>
      </c>
      <c r="AA11" s="38"/>
      <c r="AB11" s="39"/>
      <c r="AC11" s="147"/>
      <c r="AD11" s="101"/>
      <c r="AE11" s="41"/>
      <c r="AF11" s="42"/>
      <c r="AG11" s="42"/>
      <c r="AH11" s="42"/>
      <c r="AI11" s="42"/>
      <c r="AJ11" s="43"/>
      <c r="AK11" s="44"/>
      <c r="AL11" s="45"/>
      <c r="AM11" s="45"/>
      <c r="AN11" s="45"/>
      <c r="AO11" s="45"/>
      <c r="AP11" s="45"/>
      <c r="AQ11" s="45"/>
      <c r="AR11" s="46"/>
      <c r="AS11" s="47"/>
      <c r="AT11" s="35"/>
      <c r="AU11" s="35"/>
      <c r="AV11" s="35"/>
      <c r="AW11" s="48"/>
      <c r="AX11" s="49">
        <f t="shared" si="1"/>
        <v>0</v>
      </c>
      <c r="AY11" s="50">
        <v>0</v>
      </c>
      <c r="AZ11" s="51">
        <v>0</v>
      </c>
      <c r="BA11" s="52">
        <v>0</v>
      </c>
      <c r="BB11" s="53">
        <f t="shared" si="2"/>
        <v>0</v>
      </c>
    </row>
    <row r="12" spans="19:54" s="34" customFormat="1" ht="48" customHeight="1" thickBot="1">
      <c r="S12" s="12">
        <v>10</v>
      </c>
      <c r="T12" s="243"/>
      <c r="U12" s="13"/>
      <c r="V12" s="14"/>
      <c r="W12" s="14"/>
      <c r="X12" s="54"/>
      <c r="Y12" s="54"/>
      <c r="Z12" s="55">
        <f t="shared" si="0"/>
        <v>0</v>
      </c>
      <c r="AA12" s="19"/>
      <c r="AB12" s="20"/>
      <c r="AC12" s="21"/>
      <c r="AD12" s="100"/>
      <c r="AE12" s="22"/>
      <c r="AF12" s="23"/>
      <c r="AG12" s="23"/>
      <c r="AH12" s="23"/>
      <c r="AI12" s="23"/>
      <c r="AJ12" s="24"/>
      <c r="AK12" s="25"/>
      <c r="AL12" s="26"/>
      <c r="AM12" s="26"/>
      <c r="AN12" s="26"/>
      <c r="AO12" s="26"/>
      <c r="AP12" s="26"/>
      <c r="AQ12" s="26"/>
      <c r="AR12" s="27"/>
      <c r="AS12" s="28"/>
      <c r="AT12" s="13"/>
      <c r="AU12" s="13"/>
      <c r="AV12" s="13"/>
      <c r="AW12" s="29"/>
      <c r="AX12" s="30">
        <f t="shared" si="1"/>
        <v>0</v>
      </c>
      <c r="AY12" s="31">
        <v>0</v>
      </c>
      <c r="AZ12" s="32">
        <v>0</v>
      </c>
      <c r="BA12" s="31">
        <v>0</v>
      </c>
      <c r="BB12" s="56">
        <f t="shared" si="2"/>
        <v>0</v>
      </c>
    </row>
    <row r="13" spans="19:54" s="34" customFormat="1" ht="48" customHeight="1" thickBot="1">
      <c r="S13" s="12">
        <v>11</v>
      </c>
      <c r="T13" s="244" t="s">
        <v>65</v>
      </c>
      <c r="U13" s="35"/>
      <c r="V13" s="133"/>
      <c r="W13" s="133"/>
      <c r="X13" s="36"/>
      <c r="Y13" s="36"/>
      <c r="Z13" s="37">
        <f t="shared" si="0"/>
        <v>0</v>
      </c>
      <c r="AA13" s="38"/>
      <c r="AB13" s="39"/>
      <c r="AC13" s="40"/>
      <c r="AD13" s="101"/>
      <c r="AE13" s="41"/>
      <c r="AF13" s="42"/>
      <c r="AG13" s="42"/>
      <c r="AH13" s="42"/>
      <c r="AI13" s="42"/>
      <c r="AJ13" s="43"/>
      <c r="AK13" s="44"/>
      <c r="AL13" s="45"/>
      <c r="AM13" s="45"/>
      <c r="AN13" s="45"/>
      <c r="AO13" s="45"/>
      <c r="AP13" s="45"/>
      <c r="AQ13" s="45"/>
      <c r="AR13" s="46"/>
      <c r="AS13" s="47"/>
      <c r="AT13" s="35"/>
      <c r="AU13" s="35"/>
      <c r="AV13" s="35"/>
      <c r="AW13" s="48"/>
      <c r="AX13" s="49">
        <f t="shared" si="1"/>
        <v>0</v>
      </c>
      <c r="AY13" s="50">
        <v>0</v>
      </c>
      <c r="AZ13" s="51">
        <v>0</v>
      </c>
      <c r="BA13" s="52">
        <v>0</v>
      </c>
      <c r="BB13" s="57">
        <f t="shared" si="2"/>
        <v>0</v>
      </c>
    </row>
    <row r="14" spans="19:54" s="34" customFormat="1" ht="48" customHeight="1" thickBot="1">
      <c r="S14" s="12">
        <v>12</v>
      </c>
      <c r="T14" s="244"/>
      <c r="U14" s="35"/>
      <c r="V14" s="133"/>
      <c r="W14" s="133"/>
      <c r="X14" s="36"/>
      <c r="Y14" s="36"/>
      <c r="Z14" s="37">
        <f t="shared" si="0"/>
        <v>0</v>
      </c>
      <c r="AA14" s="38"/>
      <c r="AB14" s="39"/>
      <c r="AC14" s="40"/>
      <c r="AD14" s="101"/>
      <c r="AE14" s="41"/>
      <c r="AF14" s="42"/>
      <c r="AG14" s="42"/>
      <c r="AH14" s="42"/>
      <c r="AI14" s="42"/>
      <c r="AJ14" s="43"/>
      <c r="AK14" s="44"/>
      <c r="AL14" s="45"/>
      <c r="AM14" s="45"/>
      <c r="AN14" s="45"/>
      <c r="AO14" s="45"/>
      <c r="AP14" s="45"/>
      <c r="AQ14" s="45"/>
      <c r="AR14" s="46"/>
      <c r="AS14" s="47"/>
      <c r="AT14" s="35"/>
      <c r="AU14" s="35"/>
      <c r="AV14" s="35"/>
      <c r="AW14" s="48"/>
      <c r="AX14" s="49">
        <f t="shared" si="1"/>
        <v>0</v>
      </c>
      <c r="AY14" s="51">
        <v>0</v>
      </c>
      <c r="AZ14" s="52">
        <v>0</v>
      </c>
      <c r="BA14" s="51">
        <v>0</v>
      </c>
      <c r="BB14" s="57">
        <f t="shared" si="2"/>
        <v>0</v>
      </c>
    </row>
    <row r="15" spans="19:54" s="34" customFormat="1" ht="48" customHeight="1" thickBot="1">
      <c r="S15" s="12">
        <v>13</v>
      </c>
      <c r="T15" s="245"/>
      <c r="U15" s="58"/>
      <c r="V15" s="59"/>
      <c r="W15" s="59"/>
      <c r="X15" s="60"/>
      <c r="Y15" s="60"/>
      <c r="Z15" s="61">
        <f t="shared" si="0"/>
        <v>0</v>
      </c>
      <c r="AA15" s="62"/>
      <c r="AB15" s="63"/>
      <c r="AC15" s="64"/>
      <c r="AD15" s="102"/>
      <c r="AE15" s="65"/>
      <c r="AF15" s="66"/>
      <c r="AG15" s="67"/>
      <c r="AH15" s="67"/>
      <c r="AI15" s="67"/>
      <c r="AJ15" s="66"/>
      <c r="AK15" s="68"/>
      <c r="AL15" s="69"/>
      <c r="AM15" s="69"/>
      <c r="AN15" s="69"/>
      <c r="AO15" s="69"/>
      <c r="AP15" s="69"/>
      <c r="AQ15" s="69"/>
      <c r="AR15" s="70"/>
      <c r="AS15" s="71"/>
      <c r="AT15" s="35"/>
      <c r="AU15" s="35"/>
      <c r="AV15" s="35"/>
      <c r="AW15" s="48"/>
      <c r="AX15" s="49">
        <f t="shared" si="1"/>
        <v>0</v>
      </c>
      <c r="AY15" s="50">
        <v>0</v>
      </c>
      <c r="AZ15" s="51">
        <v>0</v>
      </c>
      <c r="BA15" s="52">
        <v>0</v>
      </c>
      <c r="BB15" s="57">
        <f t="shared" si="2"/>
        <v>0</v>
      </c>
    </row>
    <row r="16" spans="19:54" s="72" customFormat="1" ht="50.1" customHeight="1">
      <c r="S16" s="254" t="s">
        <v>42</v>
      </c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5" t="s">
        <v>53</v>
      </c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6" t="s">
        <v>43</v>
      </c>
      <c r="AU16" s="257"/>
      <c r="AV16" s="257"/>
      <c r="AW16" s="257"/>
      <c r="AX16" s="257"/>
      <c r="AY16" s="257"/>
      <c r="AZ16" s="257"/>
      <c r="BA16" s="257"/>
      <c r="BB16" s="258"/>
    </row>
    <row r="17" spans="18:62" s="72" customFormat="1" ht="60" customHeight="1">
      <c r="S17" s="73" t="s">
        <v>15</v>
      </c>
      <c r="T17" s="300" t="s">
        <v>44</v>
      </c>
      <c r="U17" s="301"/>
      <c r="V17" s="302" t="s">
        <v>45</v>
      </c>
      <c r="W17" s="303"/>
      <c r="X17" s="74" t="s">
        <v>46</v>
      </c>
      <c r="Y17" s="75" t="s">
        <v>67</v>
      </c>
      <c r="Z17" s="304" t="s">
        <v>47</v>
      </c>
      <c r="AA17" s="304"/>
      <c r="AB17" s="304"/>
      <c r="AC17" s="304"/>
      <c r="AD17" s="304"/>
      <c r="AE17" s="304"/>
      <c r="AF17" s="304"/>
      <c r="AG17" s="305" t="s">
        <v>48</v>
      </c>
      <c r="AH17" s="306"/>
      <c r="AI17" s="307" t="s">
        <v>49</v>
      </c>
      <c r="AJ17" s="307"/>
      <c r="AK17" s="92"/>
      <c r="AL17" s="308" t="s">
        <v>68</v>
      </c>
      <c r="AM17" s="309"/>
      <c r="AN17" s="310"/>
      <c r="AO17" s="288" t="s">
        <v>50</v>
      </c>
      <c r="AP17" s="289"/>
      <c r="AQ17" s="289"/>
      <c r="AR17" s="289"/>
      <c r="AS17" s="289"/>
      <c r="AT17" s="76" t="s">
        <v>51</v>
      </c>
      <c r="AU17" s="290" t="s">
        <v>33</v>
      </c>
      <c r="AV17" s="291"/>
      <c r="AW17" s="77" t="s">
        <v>34</v>
      </c>
      <c r="AX17" s="77" t="s">
        <v>66</v>
      </c>
      <c r="AY17" s="77" t="s">
        <v>35</v>
      </c>
      <c r="AZ17" s="77" t="s">
        <v>36</v>
      </c>
      <c r="BA17" s="292" t="s">
        <v>52</v>
      </c>
      <c r="BB17" s="293"/>
    </row>
    <row r="18" spans="18:62" ht="60.75" customHeight="1">
      <c r="S18" s="78">
        <v>1</v>
      </c>
      <c r="T18" s="294"/>
      <c r="U18" s="295"/>
      <c r="V18" s="280"/>
      <c r="W18" s="281"/>
      <c r="X18" s="79" t="str">
        <f>TEXT(MOD(V18-T18,1),"h:mm")</f>
        <v>0:00</v>
      </c>
      <c r="Y18" s="80"/>
      <c r="Z18" s="282"/>
      <c r="AA18" s="282"/>
      <c r="AB18" s="282"/>
      <c r="AC18" s="282"/>
      <c r="AD18" s="282"/>
      <c r="AE18" s="282"/>
      <c r="AF18" s="282"/>
      <c r="AG18" s="296">
        <f>SUM(AX7:AX9)</f>
        <v>0</v>
      </c>
      <c r="AH18" s="297"/>
      <c r="AI18" s="298">
        <f>SUM(AX10:AX12)</f>
        <v>0</v>
      </c>
      <c r="AJ18" s="298"/>
      <c r="AK18" s="93"/>
      <c r="AL18" s="298">
        <f>SUM(AX13:AX15)</f>
        <v>0</v>
      </c>
      <c r="AM18" s="298"/>
      <c r="AN18" s="298"/>
      <c r="AO18" s="299">
        <f>SUM(AG18:AN18)</f>
        <v>0</v>
      </c>
      <c r="AP18" s="299"/>
      <c r="AQ18" s="299"/>
      <c r="AR18" s="299"/>
      <c r="AS18" s="299"/>
      <c r="AT18" s="81" t="s">
        <v>1</v>
      </c>
      <c r="AU18" s="276">
        <f>SUM(AS7:AS9)</f>
        <v>0</v>
      </c>
      <c r="AV18" s="277"/>
      <c r="AW18" s="82">
        <f>SUM(AT7:AT9)</f>
        <v>0</v>
      </c>
      <c r="AX18" s="82">
        <f>SUM(AV7:AV9)</f>
        <v>0</v>
      </c>
      <c r="AY18" s="82">
        <f>SUM(AU7:AU9)</f>
        <v>0</v>
      </c>
      <c r="AZ18" s="82">
        <f>SUM(AW7:AW9)</f>
        <v>0</v>
      </c>
      <c r="BA18" s="276">
        <f>SUM(AU18:AZ18)</f>
        <v>0</v>
      </c>
      <c r="BB18" s="277"/>
    </row>
    <row r="19" spans="18:62" ht="60.75" customHeight="1">
      <c r="S19" s="78">
        <v>2</v>
      </c>
      <c r="T19" s="278"/>
      <c r="U19" s="279"/>
      <c r="V19" s="280"/>
      <c r="W19" s="281"/>
      <c r="X19" s="79" t="str">
        <f>TEXT(MOD(V19-T19,1),"h:mm")</f>
        <v>0:00</v>
      </c>
      <c r="Y19" s="80"/>
      <c r="Z19" s="282"/>
      <c r="AA19" s="282"/>
      <c r="AB19" s="282"/>
      <c r="AC19" s="282"/>
      <c r="AD19" s="282"/>
      <c r="AE19" s="282"/>
      <c r="AF19" s="282"/>
      <c r="AG19" s="283" t="s">
        <v>41</v>
      </c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5"/>
      <c r="AT19" s="83" t="s">
        <v>5</v>
      </c>
      <c r="AU19" s="286">
        <f>SUM(AS10:AS12)</f>
        <v>0</v>
      </c>
      <c r="AV19" s="287"/>
      <c r="AW19" s="84">
        <f>SUM(AT10:AT12)</f>
        <v>0</v>
      </c>
      <c r="AX19" s="84">
        <f>SUM(AV10:AV12)</f>
        <v>0</v>
      </c>
      <c r="AY19" s="84">
        <f>SUM(AU10:AU12)</f>
        <v>0</v>
      </c>
      <c r="AZ19" s="84">
        <f>SUM(AW10:AW12)</f>
        <v>0</v>
      </c>
      <c r="BA19" s="286">
        <f>SUM(AU19:AZ19)</f>
        <v>0</v>
      </c>
      <c r="BB19" s="287"/>
    </row>
    <row r="20" spans="18:62" ht="60.75" customHeight="1">
      <c r="S20" s="78">
        <v>3</v>
      </c>
      <c r="T20" s="278"/>
      <c r="U20" s="279"/>
      <c r="V20" s="280"/>
      <c r="W20" s="281"/>
      <c r="X20" s="79" t="str">
        <f>TEXT(MOD(V20-T20,1),"h:mm")</f>
        <v>0:00</v>
      </c>
      <c r="Y20" s="80"/>
      <c r="Z20" s="327"/>
      <c r="AA20" s="327"/>
      <c r="AB20" s="327"/>
      <c r="AC20" s="327"/>
      <c r="AD20" s="327"/>
      <c r="AE20" s="327"/>
      <c r="AF20" s="327"/>
      <c r="AG20" s="311">
        <f>SUM(BB7:BB9)</f>
        <v>0</v>
      </c>
      <c r="AH20" s="328"/>
      <c r="AI20" s="311">
        <f>SUM(BB10:BB12)</f>
        <v>0</v>
      </c>
      <c r="AJ20" s="328"/>
      <c r="AK20" s="94"/>
      <c r="AL20" s="311">
        <f>SUM(BB13:BB15)</f>
        <v>0</v>
      </c>
      <c r="AM20" s="329"/>
      <c r="AN20" s="328"/>
      <c r="AO20" s="311">
        <f>SUM(AG20:AN20)</f>
        <v>0</v>
      </c>
      <c r="AP20" s="312"/>
      <c r="AQ20" s="312"/>
      <c r="AR20" s="312"/>
      <c r="AS20" s="313"/>
      <c r="AT20" s="91" t="s">
        <v>65</v>
      </c>
      <c r="AU20" s="314">
        <f>SUM(AS13:AS15)</f>
        <v>0</v>
      </c>
      <c r="AV20" s="315"/>
      <c r="AW20" s="99">
        <f>SUM(AT13:AT15)</f>
        <v>0</v>
      </c>
      <c r="AX20" s="99">
        <f>SUM(AV13:AV15)</f>
        <v>0</v>
      </c>
      <c r="AY20" s="99">
        <f>SUM(AU13:AU15)</f>
        <v>0</v>
      </c>
      <c r="AZ20" s="99">
        <f>SUM(AW13:AW15)</f>
        <v>0</v>
      </c>
      <c r="BA20" s="316">
        <f>SUM(AU20:AZ20)</f>
        <v>0</v>
      </c>
      <c r="BB20" s="317"/>
    </row>
    <row r="21" spans="18:62" ht="60.75" customHeight="1">
      <c r="S21" s="78">
        <v>4</v>
      </c>
      <c r="T21" s="278"/>
      <c r="U21" s="279"/>
      <c r="V21" s="280"/>
      <c r="W21" s="281"/>
      <c r="X21" s="79" t="str">
        <f>TEXT(MOD(V21-T21,1),"h:mm")</f>
        <v>0:00</v>
      </c>
      <c r="Y21" s="80"/>
      <c r="Z21" s="318"/>
      <c r="AA21" s="318"/>
      <c r="AB21" s="318"/>
      <c r="AC21" s="318"/>
      <c r="AD21" s="318"/>
      <c r="AE21" s="318"/>
      <c r="AF21" s="318"/>
      <c r="AG21" s="319" t="s">
        <v>54</v>
      </c>
      <c r="AH21" s="320"/>
      <c r="AI21" s="320"/>
      <c r="AJ21" s="320"/>
      <c r="AK21" s="320"/>
      <c r="AL21" s="320"/>
      <c r="AM21" s="320"/>
      <c r="AN21" s="320"/>
      <c r="AO21" s="320"/>
      <c r="AP21" s="320"/>
      <c r="AQ21" s="320"/>
      <c r="AR21" s="320"/>
      <c r="AS21" s="321"/>
      <c r="AT21" s="322" t="s">
        <v>55</v>
      </c>
      <c r="AU21" s="323"/>
      <c r="AV21" s="324"/>
      <c r="AW21" s="325">
        <v>1680</v>
      </c>
      <c r="AX21" s="326"/>
      <c r="AY21" s="322" t="s">
        <v>56</v>
      </c>
      <c r="AZ21" s="324"/>
      <c r="BA21" s="330">
        <v>1628</v>
      </c>
      <c r="BB21" s="331"/>
    </row>
    <row r="22" spans="18:62" ht="54" customHeight="1">
      <c r="S22" s="78">
        <v>5</v>
      </c>
      <c r="T22" s="278"/>
      <c r="U22" s="279"/>
      <c r="V22" s="280"/>
      <c r="W22" s="281"/>
      <c r="X22" s="79" t="str">
        <f>TEXT(MOD(V22-T22,1),"h:mm")</f>
        <v>0:00</v>
      </c>
      <c r="Y22" s="80"/>
      <c r="Z22" s="318"/>
      <c r="AA22" s="318"/>
      <c r="AB22" s="318"/>
      <c r="AC22" s="318"/>
      <c r="AD22" s="318"/>
      <c r="AE22" s="318"/>
      <c r="AF22" s="318"/>
      <c r="AG22" s="357">
        <f>SUM(AY7:BA9)</f>
        <v>0</v>
      </c>
      <c r="AH22" s="357"/>
      <c r="AI22" s="298">
        <f>SUM(AY10:BA12)</f>
        <v>0</v>
      </c>
      <c r="AJ22" s="298"/>
      <c r="AK22" s="95"/>
      <c r="AL22" s="358">
        <f>SUM(AY13:BA15)</f>
        <v>0</v>
      </c>
      <c r="AM22" s="358"/>
      <c r="AN22" s="359"/>
      <c r="AO22" s="360">
        <f>SUM(AG22:AN22)</f>
        <v>0</v>
      </c>
      <c r="AP22" s="361"/>
      <c r="AQ22" s="361"/>
      <c r="AR22" s="361"/>
      <c r="AS22" s="362"/>
      <c r="AT22" s="98" t="s">
        <v>69</v>
      </c>
      <c r="AU22" s="363" t="s">
        <v>48</v>
      </c>
      <c r="AV22" s="364"/>
      <c r="AW22" s="365" t="s">
        <v>49</v>
      </c>
      <c r="AX22" s="366"/>
      <c r="AY22" s="332" t="s">
        <v>68</v>
      </c>
      <c r="AZ22" s="333"/>
      <c r="BA22" s="334" t="s">
        <v>57</v>
      </c>
      <c r="BB22" s="335"/>
    </row>
    <row r="23" spans="18:62" ht="59.25" customHeight="1">
      <c r="S23" s="336" t="s">
        <v>61</v>
      </c>
      <c r="T23" s="337"/>
      <c r="U23" s="337"/>
      <c r="V23" s="337"/>
      <c r="W23" s="338"/>
      <c r="X23" s="85">
        <f>SUM(X18+X19+X20+X21+X22)</f>
        <v>0</v>
      </c>
      <c r="Y23" s="132" t="s">
        <v>62</v>
      </c>
      <c r="Z23" s="86"/>
      <c r="AA23" s="87"/>
      <c r="AB23" s="87"/>
      <c r="AC23" s="339" t="s">
        <v>63</v>
      </c>
      <c r="AD23" s="339"/>
      <c r="AE23" s="340"/>
      <c r="AF23" s="341"/>
      <c r="AG23" s="342" t="s">
        <v>22</v>
      </c>
      <c r="AH23" s="343"/>
      <c r="AI23" s="344"/>
      <c r="AJ23" s="345" t="s">
        <v>48</v>
      </c>
      <c r="AK23" s="346"/>
      <c r="AL23" s="346"/>
      <c r="AM23" s="347"/>
      <c r="AN23" s="348" t="s">
        <v>49</v>
      </c>
      <c r="AO23" s="348"/>
      <c r="AP23" s="348"/>
      <c r="AQ23" s="349" t="s">
        <v>68</v>
      </c>
      <c r="AR23" s="350"/>
      <c r="AS23" s="351"/>
      <c r="AT23" s="96" t="s">
        <v>60</v>
      </c>
      <c r="AU23" s="352">
        <f>SUM(AQ7:AQ9)</f>
        <v>0</v>
      </c>
      <c r="AV23" s="353"/>
      <c r="AW23" s="352">
        <f>SUM(AQ10:AQ12)</f>
        <v>0</v>
      </c>
      <c r="AX23" s="354"/>
      <c r="AY23" s="352">
        <f>SUM(AQ13:AQ15)</f>
        <v>0</v>
      </c>
      <c r="AZ23" s="353"/>
      <c r="BA23" s="355">
        <f>SUM(AU23:AZ23)</f>
        <v>0</v>
      </c>
      <c r="BB23" s="356"/>
    </row>
    <row r="24" spans="18:62" ht="57" customHeight="1">
      <c r="S24" s="367"/>
      <c r="T24" s="368"/>
      <c r="U24" s="368"/>
      <c r="V24" s="368"/>
      <c r="W24" s="369"/>
      <c r="X24" s="373" t="s">
        <v>73</v>
      </c>
      <c r="Y24" s="104" t="s">
        <v>70</v>
      </c>
      <c r="Z24" s="105" t="s">
        <v>71</v>
      </c>
      <c r="AA24" s="103"/>
      <c r="AB24" s="103"/>
      <c r="AC24" s="375" t="s">
        <v>72</v>
      </c>
      <c r="AD24" s="376"/>
      <c r="AE24" s="377" t="s">
        <v>57</v>
      </c>
      <c r="AF24" s="378"/>
      <c r="AG24" s="379" t="s">
        <v>58</v>
      </c>
      <c r="AH24" s="380"/>
      <c r="AI24" s="381"/>
      <c r="AJ24" s="382">
        <f>AVERAGE(Z7:Z9)</f>
        <v>0</v>
      </c>
      <c r="AK24" s="383"/>
      <c r="AL24" s="383"/>
      <c r="AM24" s="383"/>
      <c r="AN24" s="382">
        <f>AVERAGE(Z10:Z12)</f>
        <v>0</v>
      </c>
      <c r="AO24" s="383"/>
      <c r="AP24" s="383"/>
      <c r="AQ24" s="382">
        <f>AVERAGE(Z13)</f>
        <v>0</v>
      </c>
      <c r="AR24" s="383"/>
      <c r="AS24" s="383"/>
      <c r="AT24" s="97" t="s">
        <v>64</v>
      </c>
      <c r="AU24" s="387">
        <f>SUM(AL7:AP9)</f>
        <v>0</v>
      </c>
      <c r="AV24" s="388"/>
      <c r="AW24" s="387">
        <f>SUM(AL10:AP12)</f>
        <v>0</v>
      </c>
      <c r="AX24" s="388"/>
      <c r="AY24" s="387">
        <f>SUM(AL13:AP15)</f>
        <v>0</v>
      </c>
      <c r="AZ24" s="388"/>
      <c r="BA24" s="389">
        <f>SUM(AU24:AZ24)</f>
        <v>0</v>
      </c>
      <c r="BB24" s="390"/>
    </row>
    <row r="25" spans="18:62" ht="52.5" customHeight="1">
      <c r="S25" s="370"/>
      <c r="T25" s="371"/>
      <c r="U25" s="371"/>
      <c r="V25" s="371"/>
      <c r="W25" s="372"/>
      <c r="X25" s="374"/>
      <c r="Y25" s="106">
        <f>SUM(AD7:AD9)</f>
        <v>0</v>
      </c>
      <c r="Z25" s="106">
        <f>SUM(AD10:AD11)</f>
        <v>0</v>
      </c>
      <c r="AA25" s="107"/>
      <c r="AB25" s="107"/>
      <c r="AC25" s="391">
        <f>SUM(AD13:AD15)</f>
        <v>0</v>
      </c>
      <c r="AD25" s="392"/>
      <c r="AE25" s="393">
        <f>SUM(Y25:AD25)</f>
        <v>0</v>
      </c>
      <c r="AF25" s="394"/>
      <c r="AG25" s="379" t="s">
        <v>59</v>
      </c>
      <c r="AH25" s="380"/>
      <c r="AI25" s="381"/>
      <c r="AJ25" s="382">
        <f>SUM(Z7:Z9)</f>
        <v>0</v>
      </c>
      <c r="AK25" s="383"/>
      <c r="AL25" s="383"/>
      <c r="AM25" s="383"/>
      <c r="AN25" s="382">
        <f>SUM(Z10:Z12)</f>
        <v>0</v>
      </c>
      <c r="AO25" s="383"/>
      <c r="AP25" s="383"/>
      <c r="AQ25" s="382">
        <f>SUM(Z13:Z15)</f>
        <v>0</v>
      </c>
      <c r="AR25" s="383"/>
      <c r="AS25" s="383"/>
      <c r="AT25" s="384"/>
      <c r="AU25" s="385"/>
      <c r="AV25" s="385"/>
      <c r="AW25" s="385"/>
      <c r="AX25" s="385"/>
      <c r="AY25" s="385"/>
      <c r="AZ25" s="385"/>
      <c r="BA25" s="385"/>
      <c r="BB25" s="386"/>
    </row>
    <row r="26" spans="18:62" ht="60.75" customHeight="1"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8:62" ht="30" customHeight="1"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8:62" ht="30" customHeight="1"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T28" s="4"/>
      <c r="AU28" s="4"/>
      <c r="AV28" s="4"/>
      <c r="AW28" s="4"/>
      <c r="AX28" s="4"/>
      <c r="AY28" s="4"/>
      <c r="AZ28" s="4"/>
      <c r="BA28" s="4"/>
    </row>
    <row r="29" spans="18:62" ht="30" customHeight="1"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T29" s="4"/>
      <c r="AU29" s="4"/>
      <c r="AV29" s="4"/>
      <c r="AW29" s="4"/>
      <c r="AX29" s="4"/>
      <c r="AY29" s="4"/>
      <c r="AZ29" s="4"/>
      <c r="BA29" s="4"/>
    </row>
    <row r="30" spans="18:62" ht="30" customHeight="1">
      <c r="R30" s="3"/>
      <c r="S30" s="3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T30" s="4"/>
      <c r="AU30" s="4"/>
      <c r="AV30" s="4"/>
      <c r="AW30" s="4"/>
      <c r="AX30" s="4"/>
      <c r="AY30" s="4"/>
      <c r="AZ30" s="4"/>
      <c r="BA30" s="4"/>
    </row>
    <row r="31" spans="18:62" ht="30" customHeight="1">
      <c r="R31" s="3"/>
      <c r="S31" s="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T31" s="4"/>
      <c r="AU31" s="4"/>
      <c r="AV31" s="4"/>
      <c r="AW31" s="4"/>
      <c r="AX31" s="4"/>
      <c r="AY31" s="4"/>
      <c r="AZ31" s="4"/>
      <c r="BA31" s="4"/>
    </row>
    <row r="32" spans="18:62" ht="15" customHeight="1">
      <c r="S32" s="3"/>
      <c r="BJ32" s="4">
        <v>8</v>
      </c>
    </row>
  </sheetData>
  <mergeCells count="145">
    <mergeCell ref="S1:W3"/>
    <mergeCell ref="X1:Y3"/>
    <mergeCell ref="AC1:AE1"/>
    <mergeCell ref="AF1:AH1"/>
    <mergeCell ref="AI1:AL1"/>
    <mergeCell ref="AM1:AP1"/>
    <mergeCell ref="AF3:AH3"/>
    <mergeCell ref="AI3:AL3"/>
    <mergeCell ref="AM3:AP3"/>
    <mergeCell ref="AQ1:AT1"/>
    <mergeCell ref="AU1:AW1"/>
    <mergeCell ref="AF5:AF6"/>
    <mergeCell ref="AG5:AG6"/>
    <mergeCell ref="AX1:BB3"/>
    <mergeCell ref="AC2:AE2"/>
    <mergeCell ref="AF2:AH2"/>
    <mergeCell ref="AI2:AL2"/>
    <mergeCell ref="AM2:AP2"/>
    <mergeCell ref="AQ2:AT2"/>
    <mergeCell ref="AU2:AW2"/>
    <mergeCell ref="AC3:AE3"/>
    <mergeCell ref="AQ3:AT3"/>
    <mergeCell ref="AU3:AW3"/>
    <mergeCell ref="AX4:BB4"/>
    <mergeCell ref="BA5:BA6"/>
    <mergeCell ref="BB5:BB6"/>
    <mergeCell ref="S4:Z4"/>
    <mergeCell ref="AA4:AB4"/>
    <mergeCell ref="AC4:AD4"/>
    <mergeCell ref="AE4:AJ4"/>
    <mergeCell ref="AL4:AQ4"/>
    <mergeCell ref="AS4:AW4"/>
    <mergeCell ref="T7:T9"/>
    <mergeCell ref="T10:T12"/>
    <mergeCell ref="T13:T15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S16:AF16"/>
    <mergeCell ref="AG16:AS16"/>
    <mergeCell ref="AT16:BB16"/>
    <mergeCell ref="AU5:AU6"/>
    <mergeCell ref="AV5:AV6"/>
    <mergeCell ref="AW5:AW6"/>
    <mergeCell ref="AX5:AX6"/>
    <mergeCell ref="AY5:AY6"/>
    <mergeCell ref="AZ5:AZ6"/>
    <mergeCell ref="AH5:AH6"/>
    <mergeCell ref="AI5:AI6"/>
    <mergeCell ref="AJ5:AJ6"/>
    <mergeCell ref="AK5:AR5"/>
    <mergeCell ref="AS5:AS6"/>
    <mergeCell ref="AT5:AT6"/>
    <mergeCell ref="AB5:AB6"/>
    <mergeCell ref="AC5:AC6"/>
    <mergeCell ref="AD5:AD6"/>
    <mergeCell ref="AE5:AE6"/>
    <mergeCell ref="AU18:AV18"/>
    <mergeCell ref="BA18:BB18"/>
    <mergeCell ref="T19:U19"/>
    <mergeCell ref="V19:W19"/>
    <mergeCell ref="Z19:AF19"/>
    <mergeCell ref="AG19:AS19"/>
    <mergeCell ref="AU19:AV19"/>
    <mergeCell ref="BA19:BB19"/>
    <mergeCell ref="AO17:AS17"/>
    <mergeCell ref="AU17:AV17"/>
    <mergeCell ref="BA17:BB17"/>
    <mergeCell ref="T18:U18"/>
    <mergeCell ref="V18:W18"/>
    <mergeCell ref="Z18:AF18"/>
    <mergeCell ref="AG18:AH18"/>
    <mergeCell ref="AI18:AJ18"/>
    <mergeCell ref="AL18:AN18"/>
    <mergeCell ref="AO18:AS18"/>
    <mergeCell ref="T17:U17"/>
    <mergeCell ref="V17:W17"/>
    <mergeCell ref="Z17:AF17"/>
    <mergeCell ref="AG17:AH17"/>
    <mergeCell ref="AI17:AJ17"/>
    <mergeCell ref="AL17:AN17"/>
    <mergeCell ref="AO20:AS20"/>
    <mergeCell ref="AU20:AV20"/>
    <mergeCell ref="BA20:BB20"/>
    <mergeCell ref="T21:U21"/>
    <mergeCell ref="V21:W21"/>
    <mergeCell ref="Z21:AF21"/>
    <mergeCell ref="AG21:AS21"/>
    <mergeCell ref="AT21:AV21"/>
    <mergeCell ref="AW21:AX21"/>
    <mergeCell ref="AY21:AZ21"/>
    <mergeCell ref="T20:U20"/>
    <mergeCell ref="V20:W20"/>
    <mergeCell ref="Z20:AF20"/>
    <mergeCell ref="AG20:AH20"/>
    <mergeCell ref="AI20:AJ20"/>
    <mergeCell ref="AL20:AN20"/>
    <mergeCell ref="BA21:BB21"/>
    <mergeCell ref="AY22:AZ22"/>
    <mergeCell ref="BA22:BB22"/>
    <mergeCell ref="S23:W23"/>
    <mergeCell ref="AC23:AD23"/>
    <mergeCell ref="AE23:AF23"/>
    <mergeCell ref="AG23:AI23"/>
    <mergeCell ref="AJ23:AM23"/>
    <mergeCell ref="AN23:AP23"/>
    <mergeCell ref="AQ23:AS23"/>
    <mergeCell ref="AU23:AV23"/>
    <mergeCell ref="AW23:AX23"/>
    <mergeCell ref="AY23:AZ23"/>
    <mergeCell ref="BA23:BB23"/>
    <mergeCell ref="T22:U22"/>
    <mergeCell ref="V22:W22"/>
    <mergeCell ref="Z22:AF22"/>
    <mergeCell ref="AG22:AH22"/>
    <mergeCell ref="AI22:AJ22"/>
    <mergeCell ref="AL22:AN22"/>
    <mergeCell ref="AO22:AS22"/>
    <mergeCell ref="AU22:AV22"/>
    <mergeCell ref="AW22:AX22"/>
    <mergeCell ref="S24:W25"/>
    <mergeCell ref="X24:X25"/>
    <mergeCell ref="AC24:AD24"/>
    <mergeCell ref="AE24:AF24"/>
    <mergeCell ref="AG24:AI24"/>
    <mergeCell ref="AJ24:AM24"/>
    <mergeCell ref="AN24:AP24"/>
    <mergeCell ref="AQ25:AS25"/>
    <mergeCell ref="AT25:BB25"/>
    <mergeCell ref="AQ24:AS24"/>
    <mergeCell ref="AU24:AV24"/>
    <mergeCell ref="AW24:AX24"/>
    <mergeCell ref="AY24:AZ24"/>
    <mergeCell ref="BA24:BB24"/>
    <mergeCell ref="AC25:AD25"/>
    <mergeCell ref="AE25:AF25"/>
    <mergeCell ref="AG25:AI25"/>
    <mergeCell ref="AJ25:AM25"/>
    <mergeCell ref="AN25:AP25"/>
  </mergeCells>
  <conditionalFormatting sqref="Z7:Z15">
    <cfRule type="cellIs" dxfId="220" priority="1" operator="greaterThan">
      <formula>0.167361111111111</formula>
    </cfRule>
    <cfRule type="cellIs" dxfId="219" priority="2" operator="greaterThan">
      <formula>0.15625</formula>
    </cfRule>
  </conditionalFormatting>
  <conditionalFormatting sqref="AA7:AJ15">
    <cfRule type="cellIs" dxfId="218" priority="4" operator="between">
      <formula>1700</formula>
      <formula>1710</formula>
    </cfRule>
    <cfRule type="cellIs" dxfId="217" priority="5" operator="between">
      <formula>1691</formula>
      <formula>1700</formula>
    </cfRule>
  </conditionalFormatting>
  <conditionalFormatting sqref="AS7:AS15">
    <cfRule type="expression" dxfId="216" priority="6">
      <formula>IF(($AS7/$AX7)*1000&gt;$AY$1,1,0)</formula>
    </cfRule>
  </conditionalFormatting>
  <conditionalFormatting sqref="AT7:AW15">
    <cfRule type="cellIs" dxfId="215" priority="3" operator="greaterThan">
      <formula>10</formula>
    </cfRule>
  </conditionalFormatting>
  <conditionalFormatting sqref="AX7:AX15">
    <cfRule type="cellIs" dxfId="214" priority="8" operator="between">
      <formula>16000</formula>
      <formula>17200</formula>
    </cfRule>
    <cfRule type="cellIs" dxfId="213" priority="12" operator="lessThan">
      <formula>15800</formula>
    </cfRule>
    <cfRule type="cellIs" dxfId="212" priority="13" operator="greaterThan">
      <formula>18000</formula>
    </cfRule>
  </conditionalFormatting>
  <conditionalFormatting sqref="AZ7:BA15">
    <cfRule type="cellIs" dxfId="211" priority="16" operator="greaterThan">
      <formula>0</formula>
    </cfRule>
  </conditionalFormatting>
  <conditionalFormatting sqref="BB7:BB15">
    <cfRule type="cellIs" dxfId="210" priority="7" operator="between">
      <formula>16000</formula>
      <formula>17200</formula>
    </cfRule>
    <cfRule type="cellIs" dxfId="209" priority="14" operator="greaterThan">
      <formula>18000</formula>
    </cfRule>
    <cfRule type="cellIs" dxfId="208" priority="15" operator="lessThan">
      <formula>15800</formula>
    </cfRule>
  </conditionalFormatting>
  <printOptions horizontalCentered="1" verticalCentered="1"/>
  <pageMargins left="0" right="0" top="0" bottom="0.21" header="0" footer="0"/>
  <pageSetup paperSize="9" scale="42" orientation="landscape" cellComments="asDisplayed" r:id="rId1"/>
  <headerFooter differentFirst="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75DB6-6277-4B4C-990E-A901E1031E0D}">
  <sheetPr>
    <tabColor theme="5"/>
    <pageSetUpPr fitToPage="1"/>
  </sheetPr>
  <dimension ref="R1:BJ32"/>
  <sheetViews>
    <sheetView showGridLines="0" rightToLeft="1" topLeftCell="K1" zoomScale="55" zoomScaleNormal="55" zoomScalePageLayoutView="40" workbookViewId="0">
      <selection activeCell="AM8" sqref="AM8"/>
    </sheetView>
  </sheetViews>
  <sheetFormatPr defaultColWidth="9.140625" defaultRowHeight="15"/>
  <cols>
    <col min="1" max="18" width="9.140625" style="4"/>
    <col min="19" max="19" width="5.7109375" style="4" customWidth="1"/>
    <col min="20" max="20" width="9.5703125" style="3" customWidth="1"/>
    <col min="21" max="21" width="10.7109375" style="3" customWidth="1"/>
    <col min="22" max="22" width="9.42578125" style="88" customWidth="1"/>
    <col min="23" max="23" width="8.85546875" style="88" customWidth="1"/>
    <col min="24" max="24" width="14.42578125" style="3" customWidth="1"/>
    <col min="25" max="25" width="14.7109375" style="3" customWidth="1"/>
    <col min="26" max="26" width="15.140625" style="88" customWidth="1"/>
    <col min="27" max="27" width="9.5703125" style="3" hidden="1" customWidth="1"/>
    <col min="28" max="28" width="10" style="3" hidden="1" customWidth="1"/>
    <col min="29" max="29" width="8.140625" style="3" customWidth="1"/>
    <col min="30" max="30" width="8.5703125" style="3" customWidth="1"/>
    <col min="31" max="31" width="12.42578125" style="3" customWidth="1"/>
    <col min="32" max="32" width="10.5703125" style="3" customWidth="1"/>
    <col min="33" max="33" width="9.5703125" style="3" customWidth="1"/>
    <col min="34" max="34" width="11.42578125" style="3" customWidth="1"/>
    <col min="35" max="35" width="9.42578125" style="3" customWidth="1"/>
    <col min="36" max="36" width="9.28515625" style="3" customWidth="1"/>
    <col min="37" max="37" width="6.7109375" style="3" hidden="1" customWidth="1"/>
    <col min="38" max="42" width="6.7109375" style="3" customWidth="1"/>
    <col min="43" max="43" width="8.140625" style="3" customWidth="1"/>
    <col min="44" max="44" width="6.7109375" style="3" hidden="1" customWidth="1"/>
    <col min="45" max="45" width="10.42578125" style="3" customWidth="1"/>
    <col min="46" max="46" width="8.7109375" style="3" customWidth="1"/>
    <col min="47" max="47" width="8.5703125" style="3" customWidth="1"/>
    <col min="48" max="48" width="8.7109375" style="3" customWidth="1"/>
    <col min="49" max="49" width="9.5703125" style="3" customWidth="1"/>
    <col min="50" max="50" width="12.42578125" style="88" customWidth="1"/>
    <col min="51" max="51" width="11.85546875" style="3" customWidth="1"/>
    <col min="52" max="52" width="11.5703125" style="3" customWidth="1"/>
    <col min="53" max="53" width="13.42578125" style="3" customWidth="1"/>
    <col min="54" max="54" width="13.5703125" style="4" customWidth="1"/>
    <col min="55" max="57" width="9.140625" style="4"/>
    <col min="58" max="58" width="25" style="4" customWidth="1"/>
    <col min="59" max="61" width="9.140625" style="4"/>
    <col min="62" max="62" width="23.5703125" style="4" customWidth="1"/>
    <col min="63" max="16384" width="9.140625" style="4"/>
  </cols>
  <sheetData>
    <row r="1" spans="19:54" ht="36.75" customHeight="1" thickBot="1">
      <c r="S1" s="180"/>
      <c r="T1" s="181"/>
      <c r="U1" s="181"/>
      <c r="V1" s="181"/>
      <c r="W1" s="181"/>
      <c r="X1" s="182" t="s">
        <v>0</v>
      </c>
      <c r="Y1" s="183"/>
      <c r="Z1" s="1" t="s">
        <v>1</v>
      </c>
      <c r="AA1" s="2"/>
      <c r="AC1" s="188" t="s">
        <v>2</v>
      </c>
      <c r="AD1" s="189"/>
      <c r="AE1" s="189"/>
      <c r="AF1" s="190" t="s">
        <v>75</v>
      </c>
      <c r="AG1" s="191"/>
      <c r="AH1" s="192"/>
      <c r="AI1" s="193" t="s">
        <v>3</v>
      </c>
      <c r="AJ1" s="194"/>
      <c r="AK1" s="194"/>
      <c r="AL1" s="195"/>
      <c r="AM1" s="196" t="s">
        <v>76</v>
      </c>
      <c r="AN1" s="197"/>
      <c r="AO1" s="197"/>
      <c r="AP1" s="198"/>
      <c r="AQ1" s="203" t="s">
        <v>4</v>
      </c>
      <c r="AR1" s="204"/>
      <c r="AS1" s="204"/>
      <c r="AT1" s="205"/>
      <c r="AU1" s="206" t="s">
        <v>74</v>
      </c>
      <c r="AV1" s="207"/>
      <c r="AW1" s="208"/>
      <c r="AX1" s="211" t="s">
        <v>108</v>
      </c>
      <c r="AY1" s="211"/>
      <c r="AZ1" s="211"/>
      <c r="BA1" s="211"/>
      <c r="BB1" s="211"/>
    </row>
    <row r="2" spans="19:54" ht="36.75" customHeight="1" thickBot="1">
      <c r="S2" s="180"/>
      <c r="T2" s="181"/>
      <c r="U2" s="181"/>
      <c r="V2" s="181"/>
      <c r="W2" s="181"/>
      <c r="X2" s="184"/>
      <c r="Y2" s="185"/>
      <c r="Z2" s="5" t="s">
        <v>5</v>
      </c>
      <c r="AA2" s="89"/>
      <c r="AC2" s="188" t="s">
        <v>2</v>
      </c>
      <c r="AD2" s="189"/>
      <c r="AE2" s="212"/>
      <c r="AF2" s="190" t="s">
        <v>78</v>
      </c>
      <c r="AG2" s="191"/>
      <c r="AH2" s="192"/>
      <c r="AI2" s="193" t="s">
        <v>3</v>
      </c>
      <c r="AJ2" s="194"/>
      <c r="AK2" s="194"/>
      <c r="AL2" s="195"/>
      <c r="AM2" s="202" t="s">
        <v>79</v>
      </c>
      <c r="AN2" s="202"/>
      <c r="AO2" s="202"/>
      <c r="AP2" s="202"/>
      <c r="AQ2" s="203" t="s">
        <v>4</v>
      </c>
      <c r="AR2" s="204"/>
      <c r="AS2" s="204"/>
      <c r="AT2" s="205"/>
      <c r="AU2" s="213" t="s">
        <v>77</v>
      </c>
      <c r="AV2" s="213"/>
      <c r="AW2" s="213"/>
      <c r="AX2" s="211"/>
      <c r="AY2" s="211"/>
      <c r="AZ2" s="211"/>
      <c r="BA2" s="211"/>
      <c r="BB2" s="211"/>
    </row>
    <row r="3" spans="19:54" ht="38.25" customHeight="1" thickBot="1">
      <c r="S3" s="181"/>
      <c r="T3" s="181"/>
      <c r="U3" s="181"/>
      <c r="V3" s="181"/>
      <c r="W3" s="181"/>
      <c r="X3" s="186"/>
      <c r="Y3" s="187"/>
      <c r="Z3" s="90" t="s">
        <v>65</v>
      </c>
      <c r="AA3" s="6"/>
      <c r="AC3" s="188" t="s">
        <v>6</v>
      </c>
      <c r="AD3" s="189"/>
      <c r="AE3" s="212"/>
      <c r="AF3" s="190" t="s">
        <v>81</v>
      </c>
      <c r="AG3" s="191"/>
      <c r="AH3" s="192"/>
      <c r="AI3" s="199" t="s">
        <v>7</v>
      </c>
      <c r="AJ3" s="200"/>
      <c r="AK3" s="200"/>
      <c r="AL3" s="201"/>
      <c r="AM3" s="202" t="s">
        <v>82</v>
      </c>
      <c r="AN3" s="202"/>
      <c r="AO3" s="202"/>
      <c r="AP3" s="202"/>
      <c r="AQ3" s="203" t="s">
        <v>4</v>
      </c>
      <c r="AR3" s="204"/>
      <c r="AS3" s="204"/>
      <c r="AT3" s="214"/>
      <c r="AU3" s="215" t="s">
        <v>80</v>
      </c>
      <c r="AV3" s="216"/>
      <c r="AW3" s="217"/>
      <c r="AX3" s="211"/>
      <c r="AY3" s="211"/>
      <c r="AZ3" s="211"/>
      <c r="BA3" s="211"/>
      <c r="BB3" s="211"/>
    </row>
    <row r="4" spans="19:54" ht="34.5" customHeight="1" thickBot="1">
      <c r="S4" s="225" t="s">
        <v>8</v>
      </c>
      <c r="T4" s="226"/>
      <c r="U4" s="226"/>
      <c r="V4" s="226"/>
      <c r="W4" s="226"/>
      <c r="X4" s="227"/>
      <c r="Y4" s="227"/>
      <c r="Z4" s="228"/>
      <c r="AA4" s="229" t="s">
        <v>9</v>
      </c>
      <c r="AB4" s="230"/>
      <c r="AC4" s="231" t="s">
        <v>10</v>
      </c>
      <c r="AD4" s="232"/>
      <c r="AE4" s="233" t="s">
        <v>11</v>
      </c>
      <c r="AF4" s="234"/>
      <c r="AG4" s="234"/>
      <c r="AH4" s="234"/>
      <c r="AI4" s="234"/>
      <c r="AJ4" s="235"/>
      <c r="AK4" s="7"/>
      <c r="AL4" s="236" t="s">
        <v>12</v>
      </c>
      <c r="AM4" s="237"/>
      <c r="AN4" s="237"/>
      <c r="AO4" s="237"/>
      <c r="AP4" s="237"/>
      <c r="AQ4" s="237"/>
      <c r="AR4" s="8"/>
      <c r="AS4" s="238" t="s">
        <v>13</v>
      </c>
      <c r="AT4" s="239"/>
      <c r="AU4" s="239"/>
      <c r="AV4" s="239"/>
      <c r="AW4" s="240"/>
      <c r="AX4" s="218" t="s">
        <v>14</v>
      </c>
      <c r="AY4" s="219"/>
      <c r="AZ4" s="219"/>
      <c r="BA4" s="219"/>
      <c r="BB4" s="220"/>
    </row>
    <row r="5" spans="19:54" ht="52.5" customHeight="1">
      <c r="S5" s="246" t="s">
        <v>15</v>
      </c>
      <c r="T5" s="248" t="s">
        <v>16</v>
      </c>
      <c r="U5" s="248" t="s">
        <v>17</v>
      </c>
      <c r="V5" s="248" t="s">
        <v>18</v>
      </c>
      <c r="W5" s="248" t="s">
        <v>19</v>
      </c>
      <c r="X5" s="248" t="s">
        <v>20</v>
      </c>
      <c r="Y5" s="248" t="s">
        <v>21</v>
      </c>
      <c r="Z5" s="250" t="s">
        <v>22</v>
      </c>
      <c r="AA5" s="252" t="s">
        <v>23</v>
      </c>
      <c r="AB5" s="270" t="s">
        <v>9</v>
      </c>
      <c r="AC5" s="272" t="s">
        <v>24</v>
      </c>
      <c r="AD5" s="272" t="s">
        <v>25</v>
      </c>
      <c r="AE5" s="274" t="s">
        <v>26</v>
      </c>
      <c r="AF5" s="209" t="s">
        <v>27</v>
      </c>
      <c r="AG5" s="209" t="s">
        <v>28</v>
      </c>
      <c r="AH5" s="263" t="s">
        <v>29</v>
      </c>
      <c r="AI5" s="263" t="s">
        <v>30</v>
      </c>
      <c r="AJ5" s="265" t="s">
        <v>31</v>
      </c>
      <c r="AK5" s="267" t="s">
        <v>32</v>
      </c>
      <c r="AL5" s="268"/>
      <c r="AM5" s="268"/>
      <c r="AN5" s="268"/>
      <c r="AO5" s="268"/>
      <c r="AP5" s="268"/>
      <c r="AQ5" s="268"/>
      <c r="AR5" s="269"/>
      <c r="AS5" s="259" t="s">
        <v>33</v>
      </c>
      <c r="AT5" s="259" t="s">
        <v>34</v>
      </c>
      <c r="AU5" s="259" t="s">
        <v>35</v>
      </c>
      <c r="AV5" s="259" t="s">
        <v>66</v>
      </c>
      <c r="AW5" s="261" t="s">
        <v>36</v>
      </c>
      <c r="AX5" s="252" t="s">
        <v>37</v>
      </c>
      <c r="AY5" s="221" t="s">
        <v>38</v>
      </c>
      <c r="AZ5" s="221" t="s">
        <v>39</v>
      </c>
      <c r="BA5" s="221" t="s">
        <v>40</v>
      </c>
      <c r="BB5" s="223" t="s">
        <v>41</v>
      </c>
    </row>
    <row r="6" spans="19:54" ht="27.95" customHeight="1" thickBot="1">
      <c r="S6" s="247"/>
      <c r="T6" s="249"/>
      <c r="U6" s="249"/>
      <c r="V6" s="249"/>
      <c r="W6" s="249"/>
      <c r="X6" s="249"/>
      <c r="Y6" s="249"/>
      <c r="Z6" s="251"/>
      <c r="AA6" s="253"/>
      <c r="AB6" s="271"/>
      <c r="AC6" s="273"/>
      <c r="AD6" s="273"/>
      <c r="AE6" s="275"/>
      <c r="AF6" s="210"/>
      <c r="AG6" s="210"/>
      <c r="AH6" s="264"/>
      <c r="AI6" s="264"/>
      <c r="AJ6" s="266"/>
      <c r="AK6" s="9">
        <v>1</v>
      </c>
      <c r="AL6" s="10">
        <v>2</v>
      </c>
      <c r="AM6" s="10">
        <v>3</v>
      </c>
      <c r="AN6" s="10">
        <v>4</v>
      </c>
      <c r="AO6" s="10">
        <v>5</v>
      </c>
      <c r="AP6" s="10">
        <v>6</v>
      </c>
      <c r="AQ6" s="10">
        <v>12</v>
      </c>
      <c r="AR6" s="11"/>
      <c r="AS6" s="260"/>
      <c r="AT6" s="260"/>
      <c r="AU6" s="260"/>
      <c r="AV6" s="260"/>
      <c r="AW6" s="262"/>
      <c r="AX6" s="253"/>
      <c r="AY6" s="222"/>
      <c r="AZ6" s="222"/>
      <c r="BA6" s="222"/>
      <c r="BB6" s="224"/>
    </row>
    <row r="7" spans="19:54" s="34" customFormat="1" ht="48" customHeight="1" thickBot="1">
      <c r="S7" s="12">
        <v>1</v>
      </c>
      <c r="T7" s="241" t="s">
        <v>1</v>
      </c>
      <c r="U7" s="13"/>
      <c r="V7" s="14"/>
      <c r="W7" s="15"/>
      <c r="X7" s="16"/>
      <c r="Y7" s="17"/>
      <c r="Z7" s="18">
        <f t="shared" ref="Z7:Z15" si="0">IF(Y7&lt;X7,1+Y7-X7,Y7-X7)</f>
        <v>0</v>
      </c>
      <c r="AA7" s="19"/>
      <c r="AB7" s="20"/>
      <c r="AC7" s="21"/>
      <c r="AD7" s="100"/>
      <c r="AE7" s="22"/>
      <c r="AF7" s="23"/>
      <c r="AG7" s="23"/>
      <c r="AH7" s="23"/>
      <c r="AI7" s="23"/>
      <c r="AJ7" s="24"/>
      <c r="AK7" s="25"/>
      <c r="AL7" s="26"/>
      <c r="AM7" s="26"/>
      <c r="AN7" s="26"/>
      <c r="AO7" s="26"/>
      <c r="AP7" s="26"/>
      <c r="AQ7" s="26"/>
      <c r="AR7" s="27"/>
      <c r="AS7" s="28"/>
      <c r="AT7" s="13"/>
      <c r="AU7" s="13"/>
      <c r="AV7" s="13"/>
      <c r="AW7" s="29"/>
      <c r="AX7" s="30">
        <f t="shared" ref="AX7:AX15" si="1">SUM(AY7:BB7)</f>
        <v>0</v>
      </c>
      <c r="AY7" s="31">
        <v>0</v>
      </c>
      <c r="AZ7" s="32">
        <v>0</v>
      </c>
      <c r="BA7" s="31">
        <v>0</v>
      </c>
      <c r="BB7" s="33">
        <f t="shared" ref="BB7:BB15" si="2">SUM(($AQ$6*AQ7+$AP$6*AP7+$AN$6*AN7+$AM$6*$AM7+$AL$6*AL7+$AK$6*AK7+$AO$6*AO7+$AR$6*AR7)*175)</f>
        <v>0</v>
      </c>
    </row>
    <row r="8" spans="19:54" s="34" customFormat="1" ht="48" customHeight="1" thickBot="1">
      <c r="S8" s="12">
        <v>2</v>
      </c>
      <c r="T8" s="242"/>
      <c r="U8" s="35"/>
      <c r="V8" s="131"/>
      <c r="W8" s="131"/>
      <c r="X8" s="36"/>
      <c r="Y8" s="36"/>
      <c r="Z8" s="37">
        <f t="shared" si="0"/>
        <v>0</v>
      </c>
      <c r="AA8" s="38"/>
      <c r="AB8" s="39"/>
      <c r="AC8" s="147"/>
      <c r="AD8" s="101"/>
      <c r="AE8" s="41"/>
      <c r="AF8" s="42"/>
      <c r="AG8" s="42"/>
      <c r="AH8" s="42"/>
      <c r="AI8" s="42"/>
      <c r="AJ8" s="43"/>
      <c r="AK8" s="44"/>
      <c r="AL8" s="45"/>
      <c r="AM8" s="45"/>
      <c r="AN8" s="45"/>
      <c r="AO8" s="45"/>
      <c r="AP8" s="45"/>
      <c r="AQ8" s="45"/>
      <c r="AR8" s="46"/>
      <c r="AS8" s="47"/>
      <c r="AT8" s="35"/>
      <c r="AU8" s="35"/>
      <c r="AV8" s="35"/>
      <c r="AW8" s="48"/>
      <c r="AX8" s="49">
        <f t="shared" si="1"/>
        <v>0</v>
      </c>
      <c r="AY8" s="50">
        <v>0</v>
      </c>
      <c r="AZ8" s="51">
        <v>0</v>
      </c>
      <c r="BA8" s="52">
        <v>0</v>
      </c>
      <c r="BB8" s="53">
        <f t="shared" si="2"/>
        <v>0</v>
      </c>
    </row>
    <row r="9" spans="19:54" s="34" customFormat="1" ht="48" customHeight="1" thickBot="1">
      <c r="S9" s="12">
        <v>3</v>
      </c>
      <c r="T9" s="242"/>
      <c r="U9" s="35"/>
      <c r="V9" s="131"/>
      <c r="W9" s="131"/>
      <c r="X9" s="36"/>
      <c r="Y9" s="36"/>
      <c r="Z9" s="37">
        <f t="shared" si="0"/>
        <v>0</v>
      </c>
      <c r="AA9" s="38"/>
      <c r="AB9" s="39"/>
      <c r="AC9" s="40"/>
      <c r="AD9" s="101"/>
      <c r="AE9" s="41"/>
      <c r="AF9" s="42"/>
      <c r="AG9" s="42"/>
      <c r="AH9" s="42"/>
      <c r="AI9" s="42"/>
      <c r="AJ9" s="43"/>
      <c r="AK9" s="44"/>
      <c r="AL9" s="45"/>
      <c r="AM9" s="45"/>
      <c r="AN9" s="45"/>
      <c r="AO9" s="45"/>
      <c r="AP9" s="45"/>
      <c r="AQ9" s="45"/>
      <c r="AR9" s="46"/>
      <c r="AS9" s="47"/>
      <c r="AT9" s="35"/>
      <c r="AU9" s="35"/>
      <c r="AV9" s="35"/>
      <c r="AW9" s="48"/>
      <c r="AX9" s="49">
        <f t="shared" si="1"/>
        <v>0</v>
      </c>
      <c r="AY9" s="51">
        <v>0</v>
      </c>
      <c r="AZ9" s="52">
        <v>0</v>
      </c>
      <c r="BA9" s="51">
        <v>0</v>
      </c>
      <c r="BB9" s="53">
        <f t="shared" si="2"/>
        <v>0</v>
      </c>
    </row>
    <row r="10" spans="19:54" s="34" customFormat="1" ht="48" customHeight="1" thickBot="1">
      <c r="S10" s="12">
        <v>4</v>
      </c>
      <c r="T10" s="243" t="s">
        <v>5</v>
      </c>
      <c r="U10" s="35"/>
      <c r="V10" s="165"/>
      <c r="W10" s="165"/>
      <c r="X10" s="36"/>
      <c r="Y10" s="36"/>
      <c r="Z10" s="37">
        <f t="shared" si="0"/>
        <v>0</v>
      </c>
      <c r="AA10" s="38"/>
      <c r="AB10" s="39"/>
      <c r="AC10" s="147"/>
      <c r="AD10" s="101"/>
      <c r="AE10" s="41"/>
      <c r="AF10" s="42"/>
      <c r="AG10" s="42"/>
      <c r="AH10" s="42"/>
      <c r="AI10" s="42"/>
      <c r="AJ10" s="43"/>
      <c r="AK10" s="44"/>
      <c r="AL10" s="45"/>
      <c r="AM10" s="45"/>
      <c r="AN10" s="45"/>
      <c r="AO10" s="45"/>
      <c r="AP10" s="45"/>
      <c r="AQ10" s="45"/>
      <c r="AR10" s="46"/>
      <c r="AS10" s="47"/>
      <c r="AT10" s="35"/>
      <c r="AU10" s="35"/>
      <c r="AV10" s="35"/>
      <c r="AW10" s="48"/>
      <c r="AX10" s="49">
        <f t="shared" si="1"/>
        <v>0</v>
      </c>
      <c r="AY10" s="51">
        <v>0</v>
      </c>
      <c r="AZ10" s="52">
        <v>0</v>
      </c>
      <c r="BA10" s="51">
        <v>0</v>
      </c>
      <c r="BB10" s="53">
        <f t="shared" si="2"/>
        <v>0</v>
      </c>
    </row>
    <row r="11" spans="19:54" s="34" customFormat="1" ht="48" customHeight="1" thickBot="1">
      <c r="S11" s="12">
        <v>5</v>
      </c>
      <c r="T11" s="243"/>
      <c r="U11" s="35"/>
      <c r="V11" s="165"/>
      <c r="W11" s="165"/>
      <c r="X11" s="36"/>
      <c r="Y11" s="36"/>
      <c r="Z11" s="37">
        <f t="shared" si="0"/>
        <v>0</v>
      </c>
      <c r="AA11" s="38"/>
      <c r="AB11" s="39"/>
      <c r="AC11" s="147"/>
      <c r="AD11" s="101"/>
      <c r="AE11" s="41"/>
      <c r="AF11" s="42"/>
      <c r="AG11" s="42"/>
      <c r="AH11" s="42"/>
      <c r="AI11" s="42"/>
      <c r="AJ11" s="43"/>
      <c r="AK11" s="44"/>
      <c r="AL11" s="45"/>
      <c r="AM11" s="45"/>
      <c r="AN11" s="45"/>
      <c r="AO11" s="45"/>
      <c r="AP11" s="45"/>
      <c r="AQ11" s="45"/>
      <c r="AR11" s="46"/>
      <c r="AS11" s="47"/>
      <c r="AT11" s="35"/>
      <c r="AU11" s="35"/>
      <c r="AV11" s="35"/>
      <c r="AW11" s="48"/>
      <c r="AX11" s="49">
        <f t="shared" si="1"/>
        <v>0</v>
      </c>
      <c r="AY11" s="50">
        <v>0</v>
      </c>
      <c r="AZ11" s="51">
        <v>0</v>
      </c>
      <c r="BA11" s="52">
        <v>0</v>
      </c>
      <c r="BB11" s="53">
        <f t="shared" si="2"/>
        <v>0</v>
      </c>
    </row>
    <row r="12" spans="19:54" s="34" customFormat="1" ht="48" customHeight="1" thickBot="1">
      <c r="S12" s="12">
        <v>10</v>
      </c>
      <c r="T12" s="243"/>
      <c r="U12" s="13"/>
      <c r="V12" s="14"/>
      <c r="W12" s="14"/>
      <c r="X12" s="54"/>
      <c r="Y12" s="54"/>
      <c r="Z12" s="55">
        <f t="shared" si="0"/>
        <v>0</v>
      </c>
      <c r="AA12" s="19"/>
      <c r="AB12" s="20"/>
      <c r="AC12" s="149"/>
      <c r="AD12" s="100"/>
      <c r="AE12" s="22"/>
      <c r="AF12" s="23"/>
      <c r="AG12" s="23"/>
      <c r="AH12" s="23"/>
      <c r="AI12" s="23"/>
      <c r="AJ12" s="24"/>
      <c r="AK12" s="25"/>
      <c r="AL12" s="26"/>
      <c r="AM12" s="26"/>
      <c r="AN12" s="26"/>
      <c r="AO12" s="26"/>
      <c r="AP12" s="26"/>
      <c r="AQ12" s="26"/>
      <c r="AR12" s="27"/>
      <c r="AS12" s="28"/>
      <c r="AT12" s="13"/>
      <c r="AU12" s="13"/>
      <c r="AV12" s="13"/>
      <c r="AW12" s="29"/>
      <c r="AX12" s="30">
        <f t="shared" si="1"/>
        <v>0</v>
      </c>
      <c r="AY12" s="31">
        <v>0</v>
      </c>
      <c r="AZ12" s="32">
        <v>0</v>
      </c>
      <c r="BA12" s="31">
        <v>0</v>
      </c>
      <c r="BB12" s="56">
        <f t="shared" si="2"/>
        <v>0</v>
      </c>
    </row>
    <row r="13" spans="19:54" s="34" customFormat="1" ht="48" customHeight="1" thickBot="1">
      <c r="S13" s="12">
        <v>11</v>
      </c>
      <c r="T13" s="244" t="s">
        <v>65</v>
      </c>
      <c r="U13" s="35"/>
      <c r="V13" s="131"/>
      <c r="W13" s="131"/>
      <c r="X13" s="36"/>
      <c r="Y13" s="36"/>
      <c r="Z13" s="37">
        <f t="shared" si="0"/>
        <v>0</v>
      </c>
      <c r="AA13" s="38"/>
      <c r="AB13" s="39"/>
      <c r="AC13" s="147"/>
      <c r="AD13" s="101"/>
      <c r="AE13" s="41"/>
      <c r="AF13" s="42"/>
      <c r="AG13" s="42"/>
      <c r="AH13" s="42"/>
      <c r="AI13" s="42"/>
      <c r="AJ13" s="43"/>
      <c r="AK13" s="44"/>
      <c r="AL13" s="45"/>
      <c r="AM13" s="45"/>
      <c r="AN13" s="45"/>
      <c r="AO13" s="45"/>
      <c r="AP13" s="45"/>
      <c r="AQ13" s="45"/>
      <c r="AR13" s="46"/>
      <c r="AS13" s="47"/>
      <c r="AT13" s="35"/>
      <c r="AU13" s="35"/>
      <c r="AV13" s="35"/>
      <c r="AW13" s="48"/>
      <c r="AX13" s="49">
        <f t="shared" si="1"/>
        <v>0</v>
      </c>
      <c r="AY13" s="50">
        <v>0</v>
      </c>
      <c r="AZ13" s="51">
        <v>0</v>
      </c>
      <c r="BA13" s="52">
        <v>0</v>
      </c>
      <c r="BB13" s="57">
        <f t="shared" si="2"/>
        <v>0</v>
      </c>
    </row>
    <row r="14" spans="19:54" s="34" customFormat="1" ht="48" customHeight="1" thickBot="1">
      <c r="S14" s="12">
        <v>12</v>
      </c>
      <c r="T14" s="244"/>
      <c r="U14" s="35"/>
      <c r="V14" s="131"/>
      <c r="W14" s="131"/>
      <c r="X14" s="36"/>
      <c r="Y14" s="36"/>
      <c r="Z14" s="37">
        <f t="shared" si="0"/>
        <v>0</v>
      </c>
      <c r="AA14" s="38"/>
      <c r="AB14" s="39"/>
      <c r="AC14" s="147"/>
      <c r="AD14" s="101"/>
      <c r="AE14" s="41"/>
      <c r="AF14" s="42"/>
      <c r="AG14" s="42"/>
      <c r="AH14" s="42"/>
      <c r="AI14" s="42"/>
      <c r="AJ14" s="43"/>
      <c r="AK14" s="44"/>
      <c r="AL14" s="45"/>
      <c r="AM14" s="45"/>
      <c r="AN14" s="45"/>
      <c r="AO14" s="45"/>
      <c r="AP14" s="45"/>
      <c r="AQ14" s="45"/>
      <c r="AR14" s="46"/>
      <c r="AS14" s="47"/>
      <c r="AT14" s="35"/>
      <c r="AU14" s="35"/>
      <c r="AV14" s="35"/>
      <c r="AW14" s="48"/>
      <c r="AX14" s="49">
        <f t="shared" si="1"/>
        <v>0</v>
      </c>
      <c r="AY14" s="51">
        <v>0</v>
      </c>
      <c r="AZ14" s="52">
        <v>0</v>
      </c>
      <c r="BA14" s="51">
        <v>0</v>
      </c>
      <c r="BB14" s="57">
        <f t="shared" si="2"/>
        <v>0</v>
      </c>
    </row>
    <row r="15" spans="19:54" s="34" customFormat="1" ht="48" customHeight="1" thickBot="1">
      <c r="S15" s="12">
        <v>13</v>
      </c>
      <c r="T15" s="245"/>
      <c r="U15" s="58"/>
      <c r="V15" s="59"/>
      <c r="W15" s="59"/>
      <c r="X15" s="60"/>
      <c r="Y15" s="60"/>
      <c r="Z15" s="61">
        <f t="shared" si="0"/>
        <v>0</v>
      </c>
      <c r="AA15" s="62"/>
      <c r="AB15" s="63"/>
      <c r="AC15" s="148"/>
      <c r="AD15" s="102"/>
      <c r="AE15" s="65"/>
      <c r="AF15" s="66"/>
      <c r="AG15" s="67"/>
      <c r="AH15" s="67"/>
      <c r="AI15" s="67"/>
      <c r="AJ15" s="66"/>
      <c r="AK15" s="68"/>
      <c r="AL15" s="69"/>
      <c r="AM15" s="69"/>
      <c r="AN15" s="69"/>
      <c r="AO15" s="69"/>
      <c r="AP15" s="69"/>
      <c r="AQ15" s="69"/>
      <c r="AR15" s="70"/>
      <c r="AS15" s="71"/>
      <c r="AT15" s="35"/>
      <c r="AU15" s="35"/>
      <c r="AV15" s="35"/>
      <c r="AW15" s="48"/>
      <c r="AX15" s="49">
        <f t="shared" si="1"/>
        <v>0</v>
      </c>
      <c r="AY15" s="50">
        <v>0</v>
      </c>
      <c r="AZ15" s="51">
        <v>0</v>
      </c>
      <c r="BA15" s="52">
        <v>0</v>
      </c>
      <c r="BB15" s="57">
        <f t="shared" si="2"/>
        <v>0</v>
      </c>
    </row>
    <row r="16" spans="19:54" s="72" customFormat="1" ht="50.1" customHeight="1">
      <c r="S16" s="254" t="s">
        <v>42</v>
      </c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5" t="s">
        <v>53</v>
      </c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6" t="s">
        <v>43</v>
      </c>
      <c r="AU16" s="257"/>
      <c r="AV16" s="257"/>
      <c r="AW16" s="257"/>
      <c r="AX16" s="257"/>
      <c r="AY16" s="257"/>
      <c r="AZ16" s="257"/>
      <c r="BA16" s="257"/>
      <c r="BB16" s="258"/>
    </row>
    <row r="17" spans="18:62" s="72" customFormat="1" ht="60" customHeight="1">
      <c r="S17" s="73" t="s">
        <v>15</v>
      </c>
      <c r="T17" s="300" t="s">
        <v>44</v>
      </c>
      <c r="U17" s="301"/>
      <c r="V17" s="302" t="s">
        <v>45</v>
      </c>
      <c r="W17" s="303"/>
      <c r="X17" s="74" t="s">
        <v>46</v>
      </c>
      <c r="Y17" s="75" t="s">
        <v>67</v>
      </c>
      <c r="Z17" s="304" t="s">
        <v>47</v>
      </c>
      <c r="AA17" s="304"/>
      <c r="AB17" s="304"/>
      <c r="AC17" s="304"/>
      <c r="AD17" s="304"/>
      <c r="AE17" s="304"/>
      <c r="AF17" s="304"/>
      <c r="AG17" s="305" t="s">
        <v>48</v>
      </c>
      <c r="AH17" s="306"/>
      <c r="AI17" s="307" t="s">
        <v>49</v>
      </c>
      <c r="AJ17" s="307"/>
      <c r="AK17" s="92"/>
      <c r="AL17" s="308" t="s">
        <v>68</v>
      </c>
      <c r="AM17" s="309"/>
      <c r="AN17" s="310"/>
      <c r="AO17" s="288" t="s">
        <v>50</v>
      </c>
      <c r="AP17" s="289"/>
      <c r="AQ17" s="289"/>
      <c r="AR17" s="289"/>
      <c r="AS17" s="289"/>
      <c r="AT17" s="76" t="s">
        <v>51</v>
      </c>
      <c r="AU17" s="290" t="s">
        <v>33</v>
      </c>
      <c r="AV17" s="291"/>
      <c r="AW17" s="77" t="s">
        <v>34</v>
      </c>
      <c r="AX17" s="77" t="s">
        <v>66</v>
      </c>
      <c r="AY17" s="77" t="s">
        <v>35</v>
      </c>
      <c r="AZ17" s="77" t="s">
        <v>36</v>
      </c>
      <c r="BA17" s="292" t="s">
        <v>52</v>
      </c>
      <c r="BB17" s="293"/>
    </row>
    <row r="18" spans="18:62" ht="60.75" customHeight="1">
      <c r="S18" s="78">
        <v>1</v>
      </c>
      <c r="T18" s="294"/>
      <c r="U18" s="295"/>
      <c r="V18" s="280"/>
      <c r="W18" s="281"/>
      <c r="X18" s="79" t="str">
        <f>TEXT(MOD(V18-T18,1),"h:mm")</f>
        <v>0:00</v>
      </c>
      <c r="Y18" s="80"/>
      <c r="Z18" s="282"/>
      <c r="AA18" s="282"/>
      <c r="AB18" s="282"/>
      <c r="AC18" s="282"/>
      <c r="AD18" s="282"/>
      <c r="AE18" s="282"/>
      <c r="AF18" s="282"/>
      <c r="AG18" s="296">
        <f>SUM(AX7:AX9)</f>
        <v>0</v>
      </c>
      <c r="AH18" s="297"/>
      <c r="AI18" s="298">
        <f>SUM(AX10:AX12)</f>
        <v>0</v>
      </c>
      <c r="AJ18" s="298"/>
      <c r="AK18" s="93"/>
      <c r="AL18" s="298">
        <f>SUM(AX13:AX15)</f>
        <v>0</v>
      </c>
      <c r="AM18" s="298"/>
      <c r="AN18" s="298"/>
      <c r="AO18" s="299">
        <f>SUM(AG18:AN18)</f>
        <v>0</v>
      </c>
      <c r="AP18" s="299"/>
      <c r="AQ18" s="299"/>
      <c r="AR18" s="299"/>
      <c r="AS18" s="299"/>
      <c r="AT18" s="81" t="s">
        <v>1</v>
      </c>
      <c r="AU18" s="276">
        <f>SUM(AS7:AS9)</f>
        <v>0</v>
      </c>
      <c r="AV18" s="277"/>
      <c r="AW18" s="82">
        <f>SUM(AT7:AT9)</f>
        <v>0</v>
      </c>
      <c r="AX18" s="82">
        <f>SUM(AV7:AV9)</f>
        <v>0</v>
      </c>
      <c r="AY18" s="82">
        <f>SUM(AU7:AU9)</f>
        <v>0</v>
      </c>
      <c r="AZ18" s="82">
        <f>SUM(AW7:AW9)</f>
        <v>0</v>
      </c>
      <c r="BA18" s="276">
        <f>SUM(AU18:AZ18)</f>
        <v>0</v>
      </c>
      <c r="BB18" s="277"/>
    </row>
    <row r="19" spans="18:62" ht="60.75" customHeight="1">
      <c r="S19" s="78">
        <v>2</v>
      </c>
      <c r="T19" s="278"/>
      <c r="U19" s="279"/>
      <c r="V19" s="280"/>
      <c r="W19" s="281"/>
      <c r="X19" s="79" t="str">
        <f>TEXT(MOD(V19-T19,1),"h:mm")</f>
        <v>0:00</v>
      </c>
      <c r="Y19" s="80"/>
      <c r="Z19" s="282"/>
      <c r="AA19" s="282"/>
      <c r="AB19" s="282"/>
      <c r="AC19" s="282"/>
      <c r="AD19" s="282"/>
      <c r="AE19" s="282"/>
      <c r="AF19" s="282"/>
      <c r="AG19" s="283" t="s">
        <v>41</v>
      </c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5"/>
      <c r="AT19" s="83" t="s">
        <v>5</v>
      </c>
      <c r="AU19" s="286">
        <f>SUM(AS10:AS12)</f>
        <v>0</v>
      </c>
      <c r="AV19" s="287"/>
      <c r="AW19" s="84">
        <f>SUM(AT10:AT12)</f>
        <v>0</v>
      </c>
      <c r="AX19" s="84">
        <f>SUM(AV10:AV12)</f>
        <v>0</v>
      </c>
      <c r="AY19" s="84">
        <f>SUM(AU10:AU12)</f>
        <v>0</v>
      </c>
      <c r="AZ19" s="84">
        <f>SUM(AW10:AW12)</f>
        <v>0</v>
      </c>
      <c r="BA19" s="286">
        <f>SUM(AU19:AZ19)</f>
        <v>0</v>
      </c>
      <c r="BB19" s="287"/>
    </row>
    <row r="20" spans="18:62" ht="60.75" customHeight="1">
      <c r="S20" s="78">
        <v>3</v>
      </c>
      <c r="T20" s="278"/>
      <c r="U20" s="279"/>
      <c r="V20" s="280"/>
      <c r="W20" s="281"/>
      <c r="X20" s="79" t="str">
        <f>TEXT(MOD(V20-T20,1),"h:mm")</f>
        <v>0:00</v>
      </c>
      <c r="Y20" s="80"/>
      <c r="Z20" s="327"/>
      <c r="AA20" s="327"/>
      <c r="AB20" s="327"/>
      <c r="AC20" s="327"/>
      <c r="AD20" s="327"/>
      <c r="AE20" s="327"/>
      <c r="AF20" s="327"/>
      <c r="AG20" s="311">
        <f>SUM(BB7:BB9)</f>
        <v>0</v>
      </c>
      <c r="AH20" s="328"/>
      <c r="AI20" s="311">
        <f>SUM(BB10:BB12)</f>
        <v>0</v>
      </c>
      <c r="AJ20" s="328"/>
      <c r="AK20" s="94"/>
      <c r="AL20" s="311">
        <f>SUM(BB13:BB15)</f>
        <v>0</v>
      </c>
      <c r="AM20" s="329"/>
      <c r="AN20" s="328"/>
      <c r="AO20" s="311">
        <f>SUM(AG20:AN20)</f>
        <v>0</v>
      </c>
      <c r="AP20" s="312"/>
      <c r="AQ20" s="312"/>
      <c r="AR20" s="312"/>
      <c r="AS20" s="313"/>
      <c r="AT20" s="91" t="s">
        <v>65</v>
      </c>
      <c r="AU20" s="314">
        <f>SUM(AS13:AS15)</f>
        <v>0</v>
      </c>
      <c r="AV20" s="315"/>
      <c r="AW20" s="99">
        <f>SUM(AT13:AT15)</f>
        <v>0</v>
      </c>
      <c r="AX20" s="99">
        <f>SUM(AV13:AV15)</f>
        <v>0</v>
      </c>
      <c r="AY20" s="99">
        <f>SUM(AU13:AU15)</f>
        <v>0</v>
      </c>
      <c r="AZ20" s="99">
        <f>SUM(AW13:AW15)</f>
        <v>0</v>
      </c>
      <c r="BA20" s="316">
        <f>SUM(AU20:AZ20)</f>
        <v>0</v>
      </c>
      <c r="BB20" s="317"/>
    </row>
    <row r="21" spans="18:62" ht="60.75" customHeight="1">
      <c r="S21" s="78">
        <v>4</v>
      </c>
      <c r="T21" s="278"/>
      <c r="U21" s="279"/>
      <c r="V21" s="280"/>
      <c r="W21" s="281"/>
      <c r="X21" s="79" t="str">
        <f>TEXT(MOD(V21-T21,1),"h:mm")</f>
        <v>0:00</v>
      </c>
      <c r="Y21" s="80"/>
      <c r="Z21" s="318"/>
      <c r="AA21" s="318"/>
      <c r="AB21" s="318"/>
      <c r="AC21" s="318"/>
      <c r="AD21" s="318"/>
      <c r="AE21" s="318"/>
      <c r="AF21" s="318"/>
      <c r="AG21" s="319" t="s">
        <v>54</v>
      </c>
      <c r="AH21" s="320"/>
      <c r="AI21" s="320"/>
      <c r="AJ21" s="320"/>
      <c r="AK21" s="320"/>
      <c r="AL21" s="320"/>
      <c r="AM21" s="320"/>
      <c r="AN21" s="320"/>
      <c r="AO21" s="320"/>
      <c r="AP21" s="320"/>
      <c r="AQ21" s="320"/>
      <c r="AR21" s="320"/>
      <c r="AS21" s="321"/>
      <c r="AT21" s="322" t="s">
        <v>55</v>
      </c>
      <c r="AU21" s="323"/>
      <c r="AV21" s="324"/>
      <c r="AW21" s="325">
        <v>1680</v>
      </c>
      <c r="AX21" s="326"/>
      <c r="AY21" s="322" t="s">
        <v>56</v>
      </c>
      <c r="AZ21" s="324"/>
      <c r="BA21" s="330">
        <v>1628</v>
      </c>
      <c r="BB21" s="331"/>
    </row>
    <row r="22" spans="18:62" ht="54" customHeight="1">
      <c r="S22" s="78">
        <v>5</v>
      </c>
      <c r="T22" s="278"/>
      <c r="U22" s="279"/>
      <c r="V22" s="280"/>
      <c r="W22" s="281"/>
      <c r="X22" s="79" t="str">
        <f>TEXT(MOD(V22-T22,1),"h:mm")</f>
        <v>0:00</v>
      </c>
      <c r="Y22" s="80"/>
      <c r="Z22" s="318"/>
      <c r="AA22" s="318"/>
      <c r="AB22" s="318"/>
      <c r="AC22" s="318"/>
      <c r="AD22" s="318"/>
      <c r="AE22" s="318"/>
      <c r="AF22" s="318"/>
      <c r="AG22" s="357">
        <f>SUM(AY7:BA9)</f>
        <v>0</v>
      </c>
      <c r="AH22" s="357"/>
      <c r="AI22" s="298">
        <f>SUM(AY10:BA12)</f>
        <v>0</v>
      </c>
      <c r="AJ22" s="298"/>
      <c r="AK22" s="95"/>
      <c r="AL22" s="358">
        <f>SUM(AY13:BA15)</f>
        <v>0</v>
      </c>
      <c r="AM22" s="358"/>
      <c r="AN22" s="359"/>
      <c r="AO22" s="360">
        <f>SUM(AG22:AN22)</f>
        <v>0</v>
      </c>
      <c r="AP22" s="361"/>
      <c r="AQ22" s="361"/>
      <c r="AR22" s="361"/>
      <c r="AS22" s="362"/>
      <c r="AT22" s="98" t="s">
        <v>69</v>
      </c>
      <c r="AU22" s="363" t="s">
        <v>48</v>
      </c>
      <c r="AV22" s="364"/>
      <c r="AW22" s="365" t="s">
        <v>49</v>
      </c>
      <c r="AX22" s="366"/>
      <c r="AY22" s="332" t="s">
        <v>68</v>
      </c>
      <c r="AZ22" s="333"/>
      <c r="BA22" s="334" t="s">
        <v>57</v>
      </c>
      <c r="BB22" s="335"/>
    </row>
    <row r="23" spans="18:62" ht="59.25" customHeight="1">
      <c r="S23" s="336" t="s">
        <v>61</v>
      </c>
      <c r="T23" s="337"/>
      <c r="U23" s="337"/>
      <c r="V23" s="337"/>
      <c r="W23" s="338"/>
      <c r="X23" s="85">
        <f>SUM(X18+X19+X20+X21+X22)</f>
        <v>0</v>
      </c>
      <c r="Y23" s="132" t="s">
        <v>62</v>
      </c>
      <c r="Z23" s="86"/>
      <c r="AA23" s="87"/>
      <c r="AB23" s="87"/>
      <c r="AC23" s="339" t="s">
        <v>63</v>
      </c>
      <c r="AD23" s="339"/>
      <c r="AE23" s="340"/>
      <c r="AF23" s="341"/>
      <c r="AG23" s="342" t="s">
        <v>22</v>
      </c>
      <c r="AH23" s="343"/>
      <c r="AI23" s="344"/>
      <c r="AJ23" s="345" t="s">
        <v>48</v>
      </c>
      <c r="AK23" s="346"/>
      <c r="AL23" s="346"/>
      <c r="AM23" s="347"/>
      <c r="AN23" s="348" t="s">
        <v>49</v>
      </c>
      <c r="AO23" s="348"/>
      <c r="AP23" s="348"/>
      <c r="AQ23" s="349" t="s">
        <v>68</v>
      </c>
      <c r="AR23" s="350"/>
      <c r="AS23" s="351"/>
      <c r="AT23" s="96" t="s">
        <v>60</v>
      </c>
      <c r="AU23" s="352">
        <f>SUM(AQ7:AQ9)</f>
        <v>0</v>
      </c>
      <c r="AV23" s="353"/>
      <c r="AW23" s="352">
        <f>SUM(AQ10:AQ12)</f>
        <v>0</v>
      </c>
      <c r="AX23" s="354"/>
      <c r="AY23" s="352">
        <f>SUM(AQ13:AQ15)</f>
        <v>0</v>
      </c>
      <c r="AZ23" s="353"/>
      <c r="BA23" s="355">
        <f>SUM(AU23:AZ23)</f>
        <v>0</v>
      </c>
      <c r="BB23" s="356"/>
    </row>
    <row r="24" spans="18:62" ht="57" customHeight="1">
      <c r="S24" s="367"/>
      <c r="T24" s="368"/>
      <c r="U24" s="368"/>
      <c r="V24" s="368"/>
      <c r="W24" s="369"/>
      <c r="X24" s="373" t="s">
        <v>73</v>
      </c>
      <c r="Y24" s="104" t="s">
        <v>70</v>
      </c>
      <c r="Z24" s="105" t="s">
        <v>71</v>
      </c>
      <c r="AA24" s="103"/>
      <c r="AB24" s="103"/>
      <c r="AC24" s="375" t="s">
        <v>72</v>
      </c>
      <c r="AD24" s="376"/>
      <c r="AE24" s="377" t="s">
        <v>57</v>
      </c>
      <c r="AF24" s="378"/>
      <c r="AG24" s="379" t="s">
        <v>58</v>
      </c>
      <c r="AH24" s="380"/>
      <c r="AI24" s="381"/>
      <c r="AJ24" s="382">
        <f>AVERAGE(Z7:Z8)</f>
        <v>0</v>
      </c>
      <c r="AK24" s="383"/>
      <c r="AL24" s="383"/>
      <c r="AM24" s="383"/>
      <c r="AN24" s="382">
        <f>AVERAGE(Z10:Z11)</f>
        <v>0</v>
      </c>
      <c r="AO24" s="383"/>
      <c r="AP24" s="383"/>
      <c r="AQ24" s="382">
        <f>AVERAGE(Z13:Z14)</f>
        <v>0</v>
      </c>
      <c r="AR24" s="383"/>
      <c r="AS24" s="383"/>
      <c r="AT24" s="97" t="s">
        <v>64</v>
      </c>
      <c r="AU24" s="387">
        <f>SUM(AL7:AP9)</f>
        <v>0</v>
      </c>
      <c r="AV24" s="388"/>
      <c r="AW24" s="387">
        <f>SUM(AL10:AP12)</f>
        <v>0</v>
      </c>
      <c r="AX24" s="388"/>
      <c r="AY24" s="387">
        <f>SUM(AL13:AP15)</f>
        <v>0</v>
      </c>
      <c r="AZ24" s="388"/>
      <c r="BA24" s="389">
        <f>SUM(AU24:AZ24)</f>
        <v>0</v>
      </c>
      <c r="BB24" s="390"/>
    </row>
    <row r="25" spans="18:62" ht="52.5" customHeight="1">
      <c r="S25" s="370"/>
      <c r="T25" s="371"/>
      <c r="U25" s="371"/>
      <c r="V25" s="371"/>
      <c r="W25" s="372"/>
      <c r="X25" s="374"/>
      <c r="Y25" s="106">
        <f>SUM(AD7:AD9)</f>
        <v>0</v>
      </c>
      <c r="Z25" s="106">
        <f>SUM(AD10:AD12)</f>
        <v>0</v>
      </c>
      <c r="AA25" s="107"/>
      <c r="AB25" s="107"/>
      <c r="AC25" s="391">
        <f>SUM(AD13:AD15)</f>
        <v>0</v>
      </c>
      <c r="AD25" s="392"/>
      <c r="AE25" s="393">
        <f>SUM(Y25:AD25)</f>
        <v>0</v>
      </c>
      <c r="AF25" s="394"/>
      <c r="AG25" s="379" t="s">
        <v>59</v>
      </c>
      <c r="AH25" s="380"/>
      <c r="AI25" s="381"/>
      <c r="AJ25" s="382">
        <f>SUM(Z7:Z9)</f>
        <v>0</v>
      </c>
      <c r="AK25" s="383"/>
      <c r="AL25" s="383"/>
      <c r="AM25" s="383"/>
      <c r="AN25" s="382">
        <f>SUM(Z10:Z12)</f>
        <v>0</v>
      </c>
      <c r="AO25" s="383"/>
      <c r="AP25" s="383"/>
      <c r="AQ25" s="382">
        <f>SUM(Z13:Z15)</f>
        <v>0</v>
      </c>
      <c r="AR25" s="383"/>
      <c r="AS25" s="383"/>
      <c r="AT25" s="384"/>
      <c r="AU25" s="385"/>
      <c r="AV25" s="385"/>
      <c r="AW25" s="385"/>
      <c r="AX25" s="385"/>
      <c r="AY25" s="385"/>
      <c r="AZ25" s="385"/>
      <c r="BA25" s="385"/>
      <c r="BB25" s="386"/>
    </row>
    <row r="26" spans="18:62" ht="60.75" customHeight="1"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8:62" ht="30" customHeight="1"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8:62" ht="30" customHeight="1"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T28" s="4"/>
      <c r="AU28" s="4"/>
      <c r="AV28" s="4"/>
      <c r="AW28" s="4"/>
      <c r="AX28" s="4"/>
      <c r="AY28" s="4"/>
      <c r="AZ28" s="4"/>
      <c r="BA28" s="4"/>
    </row>
    <row r="29" spans="18:62" ht="30" customHeight="1"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T29" s="4"/>
      <c r="AU29" s="4"/>
      <c r="AV29" s="4"/>
      <c r="AW29" s="4"/>
      <c r="AX29" s="4"/>
      <c r="AY29" s="4"/>
      <c r="AZ29" s="4"/>
      <c r="BA29" s="4"/>
    </row>
    <row r="30" spans="18:62" ht="30" customHeight="1">
      <c r="R30" s="3"/>
      <c r="S30" s="3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T30" s="4"/>
      <c r="AU30" s="4"/>
      <c r="AV30" s="4"/>
      <c r="AW30" s="4"/>
      <c r="AX30" s="4"/>
      <c r="AY30" s="4"/>
      <c r="AZ30" s="4"/>
      <c r="BA30" s="4"/>
    </row>
    <row r="31" spans="18:62" ht="30" customHeight="1">
      <c r="R31" s="3"/>
      <c r="S31" s="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T31" s="4"/>
      <c r="AU31" s="4"/>
      <c r="AV31" s="4"/>
      <c r="AW31" s="4"/>
      <c r="AX31" s="4"/>
      <c r="AY31" s="4"/>
      <c r="AZ31" s="4"/>
      <c r="BA31" s="4"/>
    </row>
    <row r="32" spans="18:62" ht="15" customHeight="1">
      <c r="S32" s="3"/>
      <c r="BJ32" s="4">
        <v>8</v>
      </c>
    </row>
  </sheetData>
  <mergeCells count="145">
    <mergeCell ref="S1:W3"/>
    <mergeCell ref="X1:Y3"/>
    <mergeCell ref="AC1:AE1"/>
    <mergeCell ref="AF1:AH1"/>
    <mergeCell ref="AI1:AL1"/>
    <mergeCell ref="AM1:AP1"/>
    <mergeCell ref="AF3:AH3"/>
    <mergeCell ref="AI3:AL3"/>
    <mergeCell ref="AM3:AP3"/>
    <mergeCell ref="AQ1:AT1"/>
    <mergeCell ref="AU1:AW1"/>
    <mergeCell ref="AF5:AF6"/>
    <mergeCell ref="AG5:AG6"/>
    <mergeCell ref="AX1:BB3"/>
    <mergeCell ref="AC2:AE2"/>
    <mergeCell ref="AF2:AH2"/>
    <mergeCell ref="AI2:AL2"/>
    <mergeCell ref="AM2:AP2"/>
    <mergeCell ref="AQ2:AT2"/>
    <mergeCell ref="AU2:AW2"/>
    <mergeCell ref="AC3:AE3"/>
    <mergeCell ref="AQ3:AT3"/>
    <mergeCell ref="AU3:AW3"/>
    <mergeCell ref="AX4:BB4"/>
    <mergeCell ref="BA5:BA6"/>
    <mergeCell ref="BB5:BB6"/>
    <mergeCell ref="S4:Z4"/>
    <mergeCell ref="AA4:AB4"/>
    <mergeCell ref="AC4:AD4"/>
    <mergeCell ref="AE4:AJ4"/>
    <mergeCell ref="AL4:AQ4"/>
    <mergeCell ref="AS4:AW4"/>
    <mergeCell ref="T7:T9"/>
    <mergeCell ref="T10:T12"/>
    <mergeCell ref="T13:T15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S16:AF16"/>
    <mergeCell ref="AG16:AS16"/>
    <mergeCell ref="AT16:BB16"/>
    <mergeCell ref="AU5:AU6"/>
    <mergeCell ref="AV5:AV6"/>
    <mergeCell ref="AW5:AW6"/>
    <mergeCell ref="AX5:AX6"/>
    <mergeCell ref="AY5:AY6"/>
    <mergeCell ref="AZ5:AZ6"/>
    <mergeCell ref="AH5:AH6"/>
    <mergeCell ref="AI5:AI6"/>
    <mergeCell ref="AJ5:AJ6"/>
    <mergeCell ref="AK5:AR5"/>
    <mergeCell ref="AS5:AS6"/>
    <mergeCell ref="AT5:AT6"/>
    <mergeCell ref="AB5:AB6"/>
    <mergeCell ref="AC5:AC6"/>
    <mergeCell ref="AD5:AD6"/>
    <mergeCell ref="AE5:AE6"/>
    <mergeCell ref="AU18:AV18"/>
    <mergeCell ref="BA18:BB18"/>
    <mergeCell ref="T19:U19"/>
    <mergeCell ref="V19:W19"/>
    <mergeCell ref="Z19:AF19"/>
    <mergeCell ref="AG19:AS19"/>
    <mergeCell ref="AU19:AV19"/>
    <mergeCell ref="BA19:BB19"/>
    <mergeCell ref="AO17:AS17"/>
    <mergeCell ref="AU17:AV17"/>
    <mergeCell ref="BA17:BB17"/>
    <mergeCell ref="T18:U18"/>
    <mergeCell ref="V18:W18"/>
    <mergeCell ref="Z18:AF18"/>
    <mergeCell ref="AG18:AH18"/>
    <mergeCell ref="AI18:AJ18"/>
    <mergeCell ref="AL18:AN18"/>
    <mergeCell ref="AO18:AS18"/>
    <mergeCell ref="T17:U17"/>
    <mergeCell ref="V17:W17"/>
    <mergeCell ref="Z17:AF17"/>
    <mergeCell ref="AG17:AH17"/>
    <mergeCell ref="AI17:AJ17"/>
    <mergeCell ref="AL17:AN17"/>
    <mergeCell ref="AO20:AS20"/>
    <mergeCell ref="AU20:AV20"/>
    <mergeCell ref="BA20:BB20"/>
    <mergeCell ref="T21:U21"/>
    <mergeCell ref="V21:W21"/>
    <mergeCell ref="Z21:AF21"/>
    <mergeCell ref="AG21:AS21"/>
    <mergeCell ref="AT21:AV21"/>
    <mergeCell ref="AW21:AX21"/>
    <mergeCell ref="AY21:AZ21"/>
    <mergeCell ref="T20:U20"/>
    <mergeCell ref="V20:W20"/>
    <mergeCell ref="Z20:AF20"/>
    <mergeCell ref="AG20:AH20"/>
    <mergeCell ref="AI20:AJ20"/>
    <mergeCell ref="AL20:AN20"/>
    <mergeCell ref="BA21:BB21"/>
    <mergeCell ref="AY22:AZ22"/>
    <mergeCell ref="BA22:BB22"/>
    <mergeCell ref="S23:W23"/>
    <mergeCell ref="AC23:AD23"/>
    <mergeCell ref="AE23:AF23"/>
    <mergeCell ref="AG23:AI23"/>
    <mergeCell ref="AJ23:AM23"/>
    <mergeCell ref="AN23:AP23"/>
    <mergeCell ref="AQ23:AS23"/>
    <mergeCell ref="AU23:AV23"/>
    <mergeCell ref="AW23:AX23"/>
    <mergeCell ref="AY23:AZ23"/>
    <mergeCell ref="BA23:BB23"/>
    <mergeCell ref="T22:U22"/>
    <mergeCell ref="V22:W22"/>
    <mergeCell ref="Z22:AF22"/>
    <mergeCell ref="AG22:AH22"/>
    <mergeCell ref="AI22:AJ22"/>
    <mergeCell ref="AL22:AN22"/>
    <mergeCell ref="AO22:AS22"/>
    <mergeCell ref="AU22:AV22"/>
    <mergeCell ref="AW22:AX22"/>
    <mergeCell ref="S24:W25"/>
    <mergeCell ref="X24:X25"/>
    <mergeCell ref="AC24:AD24"/>
    <mergeCell ref="AE24:AF24"/>
    <mergeCell ref="AG24:AI24"/>
    <mergeCell ref="AJ24:AM24"/>
    <mergeCell ref="AN24:AP24"/>
    <mergeCell ref="AQ25:AS25"/>
    <mergeCell ref="AT25:BB25"/>
    <mergeCell ref="AQ24:AS24"/>
    <mergeCell ref="AU24:AV24"/>
    <mergeCell ref="AW24:AX24"/>
    <mergeCell ref="AY24:AZ24"/>
    <mergeCell ref="BA24:BB24"/>
    <mergeCell ref="AC25:AD25"/>
    <mergeCell ref="AE25:AF25"/>
    <mergeCell ref="AG25:AI25"/>
    <mergeCell ref="AJ25:AM25"/>
    <mergeCell ref="AN25:AP25"/>
  </mergeCells>
  <conditionalFormatting sqref="Z7:Z15">
    <cfRule type="cellIs" dxfId="207" priority="3" operator="greaterThan">
      <formula>0.167361111111111</formula>
    </cfRule>
    <cfRule type="cellIs" dxfId="206" priority="4" operator="greaterThan">
      <formula>0.15625</formula>
    </cfRule>
  </conditionalFormatting>
  <conditionalFormatting sqref="AA7:AJ15">
    <cfRule type="cellIs" dxfId="205" priority="11" operator="between">
      <formula>1700</formula>
      <formula>1710</formula>
    </cfRule>
    <cfRule type="cellIs" dxfId="204" priority="12" operator="between">
      <formula>1691</formula>
      <formula>1700</formula>
    </cfRule>
  </conditionalFormatting>
  <conditionalFormatting sqref="AS7:AS15">
    <cfRule type="expression" dxfId="203" priority="13">
      <formula>IF(($AS7/$AX7)*1000&gt;$AY$1,1,0)</formula>
    </cfRule>
  </conditionalFormatting>
  <conditionalFormatting sqref="AT7:AW15">
    <cfRule type="cellIs" dxfId="202" priority="5" operator="greaterThan">
      <formula>10</formula>
    </cfRule>
  </conditionalFormatting>
  <conditionalFormatting sqref="AX7:AX15">
    <cfRule type="cellIs" dxfId="201" priority="2" operator="between">
      <formula>16000</formula>
      <formula>17200</formula>
    </cfRule>
    <cfRule type="cellIs" dxfId="200" priority="6" operator="lessThan">
      <formula>15800</formula>
    </cfRule>
    <cfRule type="cellIs" dxfId="199" priority="7" operator="greaterThan">
      <formula>18000</formula>
    </cfRule>
  </conditionalFormatting>
  <conditionalFormatting sqref="AZ7:BA15">
    <cfRule type="cellIs" dxfId="198" priority="10" operator="greaterThan">
      <formula>0</formula>
    </cfRule>
  </conditionalFormatting>
  <conditionalFormatting sqref="BB7:BB15">
    <cfRule type="cellIs" dxfId="197" priority="1" operator="between">
      <formula>16000</formula>
      <formula>17200</formula>
    </cfRule>
    <cfRule type="cellIs" dxfId="196" priority="8" operator="greaterThan">
      <formula>18000</formula>
    </cfRule>
    <cfRule type="cellIs" dxfId="195" priority="9" operator="lessThan">
      <formula>15800</formula>
    </cfRule>
  </conditionalFormatting>
  <printOptions horizontalCentered="1" verticalCentered="1"/>
  <pageMargins left="0" right="0" top="0" bottom="0.21" header="0" footer="0"/>
  <pageSetup paperSize="9" scale="42" orientation="landscape" cellComments="asDisplayed" r:id="rId1"/>
  <headerFooter differentFirst="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D8A1B-F4BA-4200-8B1A-01DE35C6FC26}">
  <sheetPr>
    <tabColor theme="5"/>
    <pageSetUpPr fitToPage="1"/>
  </sheetPr>
  <dimension ref="R1:BJ32"/>
  <sheetViews>
    <sheetView showGridLines="0" rightToLeft="1" topLeftCell="L1" zoomScale="55" zoomScaleNormal="55" zoomScalePageLayoutView="40" workbookViewId="0">
      <selection activeCell="Z19" sqref="Z19:AF19"/>
    </sheetView>
  </sheetViews>
  <sheetFormatPr defaultColWidth="9.140625" defaultRowHeight="15"/>
  <cols>
    <col min="1" max="18" width="9.140625" style="4"/>
    <col min="19" max="19" width="5.7109375" style="4" customWidth="1"/>
    <col min="20" max="20" width="9.5703125" style="3" customWidth="1"/>
    <col min="21" max="21" width="10.7109375" style="3" customWidth="1"/>
    <col min="22" max="22" width="9.42578125" style="88" customWidth="1"/>
    <col min="23" max="23" width="8.85546875" style="88" customWidth="1"/>
    <col min="24" max="24" width="14.42578125" style="3" customWidth="1"/>
    <col min="25" max="25" width="14.7109375" style="3" customWidth="1"/>
    <col min="26" max="26" width="15.140625" style="88" customWidth="1"/>
    <col min="27" max="27" width="9.5703125" style="3" hidden="1" customWidth="1"/>
    <col min="28" max="28" width="10" style="3" hidden="1" customWidth="1"/>
    <col min="29" max="29" width="8.140625" style="3" customWidth="1"/>
    <col min="30" max="30" width="8.5703125" style="3" customWidth="1"/>
    <col min="31" max="31" width="12.42578125" style="3" customWidth="1"/>
    <col min="32" max="32" width="10.5703125" style="3" customWidth="1"/>
    <col min="33" max="33" width="9.5703125" style="3" customWidth="1"/>
    <col min="34" max="34" width="11.42578125" style="3" customWidth="1"/>
    <col min="35" max="35" width="9.42578125" style="3" customWidth="1"/>
    <col min="36" max="36" width="9.28515625" style="3" customWidth="1"/>
    <col min="37" max="37" width="6.7109375" style="3" hidden="1" customWidth="1"/>
    <col min="38" max="42" width="6.7109375" style="3" customWidth="1"/>
    <col min="43" max="43" width="8.140625" style="3" customWidth="1"/>
    <col min="44" max="44" width="6.7109375" style="3" hidden="1" customWidth="1"/>
    <col min="45" max="45" width="10.42578125" style="3" customWidth="1"/>
    <col min="46" max="46" width="8.7109375" style="3" customWidth="1"/>
    <col min="47" max="47" width="8.5703125" style="3" customWidth="1"/>
    <col min="48" max="48" width="8.7109375" style="3" customWidth="1"/>
    <col min="49" max="49" width="9.5703125" style="3" customWidth="1"/>
    <col min="50" max="50" width="12.42578125" style="88" customWidth="1"/>
    <col min="51" max="51" width="11.85546875" style="3" customWidth="1"/>
    <col min="52" max="52" width="11.5703125" style="3" customWidth="1"/>
    <col min="53" max="53" width="13.42578125" style="3" customWidth="1"/>
    <col min="54" max="54" width="13.5703125" style="4" customWidth="1"/>
    <col min="55" max="57" width="9.140625" style="4"/>
    <col min="58" max="58" width="25" style="4" customWidth="1"/>
    <col min="59" max="61" width="9.140625" style="4"/>
    <col min="62" max="62" width="23.5703125" style="4" customWidth="1"/>
    <col min="63" max="16384" width="9.140625" style="4"/>
  </cols>
  <sheetData>
    <row r="1" spans="19:54" ht="36.75" customHeight="1" thickBot="1">
      <c r="S1" s="180"/>
      <c r="T1" s="181"/>
      <c r="U1" s="181"/>
      <c r="V1" s="181"/>
      <c r="W1" s="181"/>
      <c r="X1" s="182" t="s">
        <v>0</v>
      </c>
      <c r="Y1" s="183"/>
      <c r="Z1" s="1" t="s">
        <v>1</v>
      </c>
      <c r="AA1" s="2"/>
      <c r="AC1" s="188" t="s">
        <v>2</v>
      </c>
      <c r="AD1" s="189"/>
      <c r="AE1" s="189"/>
      <c r="AF1" s="190" t="s">
        <v>75</v>
      </c>
      <c r="AG1" s="191"/>
      <c r="AH1" s="192"/>
      <c r="AI1" s="193" t="s">
        <v>3</v>
      </c>
      <c r="AJ1" s="194"/>
      <c r="AK1" s="194"/>
      <c r="AL1" s="195"/>
      <c r="AM1" s="196" t="s">
        <v>76</v>
      </c>
      <c r="AN1" s="197"/>
      <c r="AO1" s="197"/>
      <c r="AP1" s="198"/>
      <c r="AQ1" s="203" t="s">
        <v>4</v>
      </c>
      <c r="AR1" s="204"/>
      <c r="AS1" s="204"/>
      <c r="AT1" s="205"/>
      <c r="AU1" s="206" t="s">
        <v>74</v>
      </c>
      <c r="AV1" s="207"/>
      <c r="AW1" s="208"/>
      <c r="AX1" s="211" t="s">
        <v>107</v>
      </c>
      <c r="AY1" s="211"/>
      <c r="AZ1" s="211"/>
      <c r="BA1" s="211"/>
      <c r="BB1" s="211"/>
    </row>
    <row r="2" spans="19:54" ht="36.75" customHeight="1" thickBot="1">
      <c r="S2" s="180"/>
      <c r="T2" s="181"/>
      <c r="U2" s="181"/>
      <c r="V2" s="181"/>
      <c r="W2" s="181"/>
      <c r="X2" s="184"/>
      <c r="Y2" s="185"/>
      <c r="Z2" s="5" t="s">
        <v>5</v>
      </c>
      <c r="AA2" s="89"/>
      <c r="AC2" s="188" t="s">
        <v>2</v>
      </c>
      <c r="AD2" s="189"/>
      <c r="AE2" s="212"/>
      <c r="AF2" s="190" t="s">
        <v>78</v>
      </c>
      <c r="AG2" s="191"/>
      <c r="AH2" s="192"/>
      <c r="AI2" s="193" t="s">
        <v>3</v>
      </c>
      <c r="AJ2" s="194"/>
      <c r="AK2" s="194"/>
      <c r="AL2" s="195"/>
      <c r="AM2" s="202" t="s">
        <v>79</v>
      </c>
      <c r="AN2" s="202"/>
      <c r="AO2" s="202"/>
      <c r="AP2" s="202"/>
      <c r="AQ2" s="203" t="s">
        <v>4</v>
      </c>
      <c r="AR2" s="204"/>
      <c r="AS2" s="204"/>
      <c r="AT2" s="205"/>
      <c r="AU2" s="213" t="s">
        <v>77</v>
      </c>
      <c r="AV2" s="213"/>
      <c r="AW2" s="213"/>
      <c r="AX2" s="211"/>
      <c r="AY2" s="211"/>
      <c r="AZ2" s="211"/>
      <c r="BA2" s="211"/>
      <c r="BB2" s="211"/>
    </row>
    <row r="3" spans="19:54" ht="38.25" customHeight="1" thickBot="1">
      <c r="S3" s="181"/>
      <c r="T3" s="181"/>
      <c r="U3" s="181"/>
      <c r="V3" s="181"/>
      <c r="W3" s="181"/>
      <c r="X3" s="186"/>
      <c r="Y3" s="187"/>
      <c r="Z3" s="90" t="s">
        <v>65</v>
      </c>
      <c r="AA3" s="6"/>
      <c r="AC3" s="188" t="s">
        <v>6</v>
      </c>
      <c r="AD3" s="189"/>
      <c r="AE3" s="212"/>
      <c r="AF3" s="190" t="s">
        <v>81</v>
      </c>
      <c r="AG3" s="191"/>
      <c r="AH3" s="192"/>
      <c r="AI3" s="199" t="s">
        <v>7</v>
      </c>
      <c r="AJ3" s="200"/>
      <c r="AK3" s="200"/>
      <c r="AL3" s="201"/>
      <c r="AM3" s="202" t="s">
        <v>82</v>
      </c>
      <c r="AN3" s="202"/>
      <c r="AO3" s="202"/>
      <c r="AP3" s="202"/>
      <c r="AQ3" s="203" t="s">
        <v>4</v>
      </c>
      <c r="AR3" s="204"/>
      <c r="AS3" s="204"/>
      <c r="AT3" s="214"/>
      <c r="AU3" s="215" t="s">
        <v>80</v>
      </c>
      <c r="AV3" s="216"/>
      <c r="AW3" s="217"/>
      <c r="AX3" s="211"/>
      <c r="AY3" s="211"/>
      <c r="AZ3" s="211"/>
      <c r="BA3" s="211"/>
      <c r="BB3" s="211"/>
    </row>
    <row r="4" spans="19:54" ht="34.5" customHeight="1" thickBot="1">
      <c r="S4" s="225" t="s">
        <v>8</v>
      </c>
      <c r="T4" s="226"/>
      <c r="U4" s="226"/>
      <c r="V4" s="226"/>
      <c r="W4" s="226"/>
      <c r="X4" s="227"/>
      <c r="Y4" s="227"/>
      <c r="Z4" s="228"/>
      <c r="AA4" s="229" t="s">
        <v>9</v>
      </c>
      <c r="AB4" s="230"/>
      <c r="AC4" s="231" t="s">
        <v>10</v>
      </c>
      <c r="AD4" s="232"/>
      <c r="AE4" s="233" t="s">
        <v>11</v>
      </c>
      <c r="AF4" s="234"/>
      <c r="AG4" s="234"/>
      <c r="AH4" s="234"/>
      <c r="AI4" s="234"/>
      <c r="AJ4" s="235"/>
      <c r="AK4" s="7"/>
      <c r="AL4" s="236" t="s">
        <v>12</v>
      </c>
      <c r="AM4" s="237"/>
      <c r="AN4" s="237"/>
      <c r="AO4" s="237"/>
      <c r="AP4" s="237"/>
      <c r="AQ4" s="237"/>
      <c r="AR4" s="8"/>
      <c r="AS4" s="238" t="s">
        <v>13</v>
      </c>
      <c r="AT4" s="239"/>
      <c r="AU4" s="239"/>
      <c r="AV4" s="239"/>
      <c r="AW4" s="240"/>
      <c r="AX4" s="218" t="s">
        <v>14</v>
      </c>
      <c r="AY4" s="219"/>
      <c r="AZ4" s="219"/>
      <c r="BA4" s="219"/>
      <c r="BB4" s="220"/>
    </row>
    <row r="5" spans="19:54" ht="52.5" customHeight="1">
      <c r="S5" s="246" t="s">
        <v>15</v>
      </c>
      <c r="T5" s="248" t="s">
        <v>16</v>
      </c>
      <c r="U5" s="248" t="s">
        <v>17</v>
      </c>
      <c r="V5" s="248" t="s">
        <v>18</v>
      </c>
      <c r="W5" s="248" t="s">
        <v>19</v>
      </c>
      <c r="X5" s="248" t="s">
        <v>20</v>
      </c>
      <c r="Y5" s="248" t="s">
        <v>21</v>
      </c>
      <c r="Z5" s="250" t="s">
        <v>22</v>
      </c>
      <c r="AA5" s="252" t="s">
        <v>23</v>
      </c>
      <c r="AB5" s="270" t="s">
        <v>9</v>
      </c>
      <c r="AC5" s="272" t="s">
        <v>24</v>
      </c>
      <c r="AD5" s="272" t="s">
        <v>25</v>
      </c>
      <c r="AE5" s="274" t="s">
        <v>26</v>
      </c>
      <c r="AF5" s="209" t="s">
        <v>27</v>
      </c>
      <c r="AG5" s="209" t="s">
        <v>28</v>
      </c>
      <c r="AH5" s="263" t="s">
        <v>29</v>
      </c>
      <c r="AI5" s="263" t="s">
        <v>30</v>
      </c>
      <c r="AJ5" s="265" t="s">
        <v>31</v>
      </c>
      <c r="AK5" s="267" t="s">
        <v>32</v>
      </c>
      <c r="AL5" s="268"/>
      <c r="AM5" s="268"/>
      <c r="AN5" s="268"/>
      <c r="AO5" s="268"/>
      <c r="AP5" s="268"/>
      <c r="AQ5" s="268"/>
      <c r="AR5" s="269"/>
      <c r="AS5" s="259" t="s">
        <v>33</v>
      </c>
      <c r="AT5" s="259" t="s">
        <v>34</v>
      </c>
      <c r="AU5" s="259" t="s">
        <v>35</v>
      </c>
      <c r="AV5" s="259" t="s">
        <v>66</v>
      </c>
      <c r="AW5" s="261" t="s">
        <v>36</v>
      </c>
      <c r="AX5" s="252" t="s">
        <v>37</v>
      </c>
      <c r="AY5" s="221" t="s">
        <v>38</v>
      </c>
      <c r="AZ5" s="221" t="s">
        <v>39</v>
      </c>
      <c r="BA5" s="221" t="s">
        <v>40</v>
      </c>
      <c r="BB5" s="223" t="s">
        <v>41</v>
      </c>
    </row>
    <row r="6" spans="19:54" ht="27.95" customHeight="1" thickBot="1">
      <c r="S6" s="247"/>
      <c r="T6" s="249"/>
      <c r="U6" s="249"/>
      <c r="V6" s="249"/>
      <c r="W6" s="249"/>
      <c r="X6" s="249"/>
      <c r="Y6" s="249"/>
      <c r="Z6" s="251"/>
      <c r="AA6" s="253"/>
      <c r="AB6" s="271"/>
      <c r="AC6" s="273"/>
      <c r="AD6" s="273"/>
      <c r="AE6" s="275"/>
      <c r="AF6" s="210"/>
      <c r="AG6" s="210"/>
      <c r="AH6" s="264"/>
      <c r="AI6" s="264"/>
      <c r="AJ6" s="266"/>
      <c r="AK6" s="9">
        <v>1</v>
      </c>
      <c r="AL6" s="10">
        <v>2</v>
      </c>
      <c r="AM6" s="10">
        <v>3</v>
      </c>
      <c r="AN6" s="10">
        <v>4</v>
      </c>
      <c r="AO6" s="10">
        <v>5</v>
      </c>
      <c r="AP6" s="10">
        <v>6</v>
      </c>
      <c r="AQ6" s="10">
        <v>12</v>
      </c>
      <c r="AR6" s="11"/>
      <c r="AS6" s="260"/>
      <c r="AT6" s="260"/>
      <c r="AU6" s="260"/>
      <c r="AV6" s="260"/>
      <c r="AW6" s="262"/>
      <c r="AX6" s="253"/>
      <c r="AY6" s="222"/>
      <c r="AZ6" s="222"/>
      <c r="BA6" s="222"/>
      <c r="BB6" s="224"/>
    </row>
    <row r="7" spans="19:54" s="34" customFormat="1" ht="48" customHeight="1" thickBot="1">
      <c r="S7" s="12">
        <v>1</v>
      </c>
      <c r="T7" s="241" t="s">
        <v>1</v>
      </c>
      <c r="U7" s="13"/>
      <c r="V7" s="14"/>
      <c r="W7" s="15"/>
      <c r="X7" s="16"/>
      <c r="Y7" s="17"/>
      <c r="Z7" s="18">
        <f t="shared" ref="Z7:Z15" si="0">IF(Y7&lt;X7,1+Y7-X7,Y7-X7)</f>
        <v>0</v>
      </c>
      <c r="AA7" s="19"/>
      <c r="AB7" s="20"/>
      <c r="AC7" s="21"/>
      <c r="AD7" s="100"/>
      <c r="AE7" s="22"/>
      <c r="AF7" s="23"/>
      <c r="AG7" s="23"/>
      <c r="AH7" s="23"/>
      <c r="AI7" s="23"/>
      <c r="AJ7" s="24"/>
      <c r="AK7" s="25"/>
      <c r="AL7" s="26"/>
      <c r="AM7" s="26"/>
      <c r="AN7" s="26"/>
      <c r="AO7" s="26"/>
      <c r="AP7" s="26"/>
      <c r="AQ7" s="26"/>
      <c r="AR7" s="27"/>
      <c r="AS7" s="28"/>
      <c r="AT7" s="13"/>
      <c r="AU7" s="13"/>
      <c r="AV7" s="13"/>
      <c r="AW7" s="29"/>
      <c r="AX7" s="30">
        <f t="shared" ref="AX7:AX15" si="1">SUM(AY7:BB7)</f>
        <v>0</v>
      </c>
      <c r="AY7" s="31">
        <v>0</v>
      </c>
      <c r="AZ7" s="32">
        <v>0</v>
      </c>
      <c r="BA7" s="31">
        <v>0</v>
      </c>
      <c r="BB7" s="33">
        <f t="shared" ref="BB7:BB15" si="2">SUM(($AQ$6*AQ7+$AP$6*AP7+$AN$6*AN7+$AM$6*$AM7+$AL$6*AL7+$AK$6*AK7+$AO$6*AO7+$AR$6*AR7)*175)</f>
        <v>0</v>
      </c>
    </row>
    <row r="8" spans="19:54" s="34" customFormat="1" ht="48" customHeight="1" thickBot="1">
      <c r="S8" s="12">
        <v>2</v>
      </c>
      <c r="T8" s="242"/>
      <c r="U8" s="35"/>
      <c r="V8" s="131"/>
      <c r="W8" s="131"/>
      <c r="X8" s="36"/>
      <c r="Y8" s="36"/>
      <c r="Z8" s="37">
        <f t="shared" si="0"/>
        <v>0</v>
      </c>
      <c r="AA8" s="38"/>
      <c r="AB8" s="39"/>
      <c r="AC8" s="147"/>
      <c r="AD8" s="101"/>
      <c r="AE8" s="41"/>
      <c r="AF8" s="42"/>
      <c r="AG8" s="42"/>
      <c r="AH8" s="42"/>
      <c r="AI8" s="42"/>
      <c r="AJ8" s="43"/>
      <c r="AK8" s="44"/>
      <c r="AL8" s="45"/>
      <c r="AM8" s="45"/>
      <c r="AN8" s="45"/>
      <c r="AO8" s="45"/>
      <c r="AP8" s="45"/>
      <c r="AQ8" s="45"/>
      <c r="AR8" s="46"/>
      <c r="AS8" s="47"/>
      <c r="AT8" s="35"/>
      <c r="AU8" s="35"/>
      <c r="AV8" s="35"/>
      <c r="AW8" s="48"/>
      <c r="AX8" s="49">
        <f t="shared" si="1"/>
        <v>0</v>
      </c>
      <c r="AY8" s="50">
        <v>0</v>
      </c>
      <c r="AZ8" s="51">
        <v>0</v>
      </c>
      <c r="BA8" s="52">
        <v>0</v>
      </c>
      <c r="BB8" s="53">
        <f t="shared" si="2"/>
        <v>0</v>
      </c>
    </row>
    <row r="9" spans="19:54" s="34" customFormat="1" ht="48" customHeight="1" thickBot="1">
      <c r="S9" s="12">
        <v>3</v>
      </c>
      <c r="T9" s="242"/>
      <c r="U9" s="35"/>
      <c r="V9" s="131"/>
      <c r="W9" s="131"/>
      <c r="X9" s="36"/>
      <c r="Y9" s="36"/>
      <c r="Z9" s="37">
        <f t="shared" si="0"/>
        <v>0</v>
      </c>
      <c r="AA9" s="38"/>
      <c r="AB9" s="39"/>
      <c r="AC9" s="147"/>
      <c r="AD9" s="101"/>
      <c r="AE9" s="41"/>
      <c r="AF9" s="42"/>
      <c r="AG9" s="42"/>
      <c r="AH9" s="42"/>
      <c r="AI9" s="42"/>
      <c r="AJ9" s="43"/>
      <c r="AK9" s="44"/>
      <c r="AL9" s="45"/>
      <c r="AM9" s="45"/>
      <c r="AN9" s="45"/>
      <c r="AO9" s="45"/>
      <c r="AP9" s="45"/>
      <c r="AQ9" s="45"/>
      <c r="AR9" s="46"/>
      <c r="AS9" s="47"/>
      <c r="AT9" s="35"/>
      <c r="AU9" s="35"/>
      <c r="AV9" s="35"/>
      <c r="AW9" s="48"/>
      <c r="AX9" s="49">
        <f t="shared" si="1"/>
        <v>0</v>
      </c>
      <c r="AY9" s="51">
        <v>0</v>
      </c>
      <c r="AZ9" s="52">
        <v>0</v>
      </c>
      <c r="BA9" s="51">
        <v>0</v>
      </c>
      <c r="BB9" s="53">
        <f t="shared" si="2"/>
        <v>0</v>
      </c>
    </row>
    <row r="10" spans="19:54" s="34" customFormat="1" ht="48" customHeight="1" thickBot="1">
      <c r="S10" s="12">
        <v>4</v>
      </c>
      <c r="T10" s="243" t="s">
        <v>5</v>
      </c>
      <c r="U10" s="35"/>
      <c r="V10" s="131"/>
      <c r="W10" s="131"/>
      <c r="X10" s="36"/>
      <c r="Y10" s="36"/>
      <c r="Z10" s="37">
        <f t="shared" si="0"/>
        <v>0</v>
      </c>
      <c r="AA10" s="38"/>
      <c r="AB10" s="39"/>
      <c r="AC10" s="147"/>
      <c r="AD10" s="101"/>
      <c r="AE10" s="41"/>
      <c r="AF10" s="42"/>
      <c r="AG10" s="42"/>
      <c r="AH10" s="42"/>
      <c r="AI10" s="42"/>
      <c r="AJ10" s="43"/>
      <c r="AK10" s="44"/>
      <c r="AL10" s="45"/>
      <c r="AM10" s="45"/>
      <c r="AN10" s="45"/>
      <c r="AO10" s="45"/>
      <c r="AP10" s="45"/>
      <c r="AQ10" s="45"/>
      <c r="AR10" s="46"/>
      <c r="AS10" s="47"/>
      <c r="AT10" s="35"/>
      <c r="AU10" s="35"/>
      <c r="AV10" s="35"/>
      <c r="AW10" s="48"/>
      <c r="AX10" s="49">
        <f t="shared" si="1"/>
        <v>0</v>
      </c>
      <c r="AY10" s="51">
        <v>0</v>
      </c>
      <c r="AZ10" s="52">
        <v>0</v>
      </c>
      <c r="BA10" s="51">
        <v>0</v>
      </c>
      <c r="BB10" s="53">
        <f t="shared" si="2"/>
        <v>0</v>
      </c>
    </row>
    <row r="11" spans="19:54" s="34" customFormat="1" ht="48" customHeight="1" thickBot="1">
      <c r="S11" s="12">
        <v>5</v>
      </c>
      <c r="T11" s="243"/>
      <c r="U11" s="35"/>
      <c r="V11" s="131"/>
      <c r="W11" s="131"/>
      <c r="X11" s="36"/>
      <c r="Y11" s="120"/>
      <c r="Z11" s="37">
        <f t="shared" si="0"/>
        <v>0</v>
      </c>
      <c r="AA11" s="38"/>
      <c r="AB11" s="39"/>
      <c r="AC11" s="147"/>
      <c r="AD11" s="101"/>
      <c r="AE11" s="41"/>
      <c r="AF11" s="42"/>
      <c r="AG11" s="42"/>
      <c r="AH11" s="42"/>
      <c r="AI11" s="42"/>
      <c r="AJ11" s="43"/>
      <c r="AK11" s="44"/>
      <c r="AL11" s="45"/>
      <c r="AM11" s="45"/>
      <c r="AN11" s="45"/>
      <c r="AO11" s="45"/>
      <c r="AP11" s="45"/>
      <c r="AQ11" s="45"/>
      <c r="AR11" s="46"/>
      <c r="AS11" s="47"/>
      <c r="AT11" s="35"/>
      <c r="AU11" s="35"/>
      <c r="AV11" s="35"/>
      <c r="AW11" s="48"/>
      <c r="AX11" s="49">
        <f t="shared" si="1"/>
        <v>0</v>
      </c>
      <c r="AY11" s="50">
        <v>0</v>
      </c>
      <c r="AZ11" s="51">
        <v>0</v>
      </c>
      <c r="BA11" s="52">
        <v>0</v>
      </c>
      <c r="BB11" s="53">
        <f t="shared" si="2"/>
        <v>0</v>
      </c>
    </row>
    <row r="12" spans="19:54" s="34" customFormat="1" ht="48" customHeight="1" thickBot="1">
      <c r="S12" s="12">
        <v>10</v>
      </c>
      <c r="T12" s="243"/>
      <c r="U12" s="13"/>
      <c r="V12" s="14"/>
      <c r="W12" s="14"/>
      <c r="X12" s="54"/>
      <c r="Y12" s="54"/>
      <c r="Z12" s="55">
        <f t="shared" si="0"/>
        <v>0</v>
      </c>
      <c r="AA12" s="19"/>
      <c r="AB12" s="20"/>
      <c r="AC12" s="149"/>
      <c r="AD12" s="100"/>
      <c r="AE12" s="22"/>
      <c r="AF12" s="23"/>
      <c r="AG12" s="23"/>
      <c r="AH12" s="23"/>
      <c r="AI12" s="23"/>
      <c r="AJ12" s="24"/>
      <c r="AK12" s="25"/>
      <c r="AL12" s="26"/>
      <c r="AM12" s="26"/>
      <c r="AN12" s="26"/>
      <c r="AO12" s="26"/>
      <c r="AP12" s="26"/>
      <c r="AQ12" s="26"/>
      <c r="AR12" s="27"/>
      <c r="AS12" s="28"/>
      <c r="AT12" s="13"/>
      <c r="AU12" s="13"/>
      <c r="AV12" s="13"/>
      <c r="AW12" s="29"/>
      <c r="AX12" s="30">
        <f t="shared" si="1"/>
        <v>0</v>
      </c>
      <c r="AY12" s="31">
        <v>0</v>
      </c>
      <c r="AZ12" s="32">
        <v>0</v>
      </c>
      <c r="BA12" s="31">
        <v>0</v>
      </c>
      <c r="BB12" s="56">
        <f t="shared" si="2"/>
        <v>0</v>
      </c>
    </row>
    <row r="13" spans="19:54" s="34" customFormat="1" ht="48" customHeight="1" thickBot="1">
      <c r="S13" s="12">
        <v>11</v>
      </c>
      <c r="T13" s="244" t="s">
        <v>65</v>
      </c>
      <c r="U13" s="35"/>
      <c r="V13" s="131"/>
      <c r="W13" s="131"/>
      <c r="X13" s="36"/>
      <c r="Y13" s="36"/>
      <c r="Z13" s="37">
        <f t="shared" si="0"/>
        <v>0</v>
      </c>
      <c r="AA13" s="38"/>
      <c r="AB13" s="39"/>
      <c r="AC13" s="147"/>
      <c r="AD13" s="101"/>
      <c r="AE13" s="41"/>
      <c r="AF13" s="42"/>
      <c r="AG13" s="42"/>
      <c r="AH13" s="42"/>
      <c r="AI13" s="42"/>
      <c r="AJ13" s="43"/>
      <c r="AK13" s="44"/>
      <c r="AL13" s="45"/>
      <c r="AM13" s="45"/>
      <c r="AN13" s="45"/>
      <c r="AO13" s="45"/>
      <c r="AP13" s="45"/>
      <c r="AQ13" s="45"/>
      <c r="AR13" s="46"/>
      <c r="AS13" s="47"/>
      <c r="AT13" s="35"/>
      <c r="AU13" s="35"/>
      <c r="AV13" s="35"/>
      <c r="AW13" s="48"/>
      <c r="AX13" s="49">
        <f t="shared" si="1"/>
        <v>0</v>
      </c>
      <c r="AY13" s="50">
        <v>0</v>
      </c>
      <c r="AZ13" s="51">
        <v>0</v>
      </c>
      <c r="BA13" s="52">
        <v>0</v>
      </c>
      <c r="BB13" s="57">
        <f t="shared" si="2"/>
        <v>0</v>
      </c>
    </row>
    <row r="14" spans="19:54" s="34" customFormat="1" ht="48" customHeight="1" thickBot="1">
      <c r="S14" s="12">
        <v>12</v>
      </c>
      <c r="T14" s="244"/>
      <c r="U14" s="35"/>
      <c r="V14" s="131"/>
      <c r="W14" s="131"/>
      <c r="X14" s="36"/>
      <c r="Y14" s="36"/>
      <c r="Z14" s="37">
        <f t="shared" si="0"/>
        <v>0</v>
      </c>
      <c r="AA14" s="38"/>
      <c r="AB14" s="39"/>
      <c r="AC14" s="147"/>
      <c r="AD14" s="101"/>
      <c r="AE14" s="41"/>
      <c r="AF14" s="42"/>
      <c r="AG14" s="42"/>
      <c r="AH14" s="42"/>
      <c r="AI14" s="42"/>
      <c r="AJ14" s="43"/>
      <c r="AK14" s="44"/>
      <c r="AL14" s="45"/>
      <c r="AM14" s="45"/>
      <c r="AN14" s="45"/>
      <c r="AO14" s="45"/>
      <c r="AP14" s="45"/>
      <c r="AQ14" s="45"/>
      <c r="AR14" s="46"/>
      <c r="AS14" s="47"/>
      <c r="AT14" s="35"/>
      <c r="AU14" s="35"/>
      <c r="AV14" s="35"/>
      <c r="AW14" s="48"/>
      <c r="AX14" s="49">
        <f t="shared" si="1"/>
        <v>0</v>
      </c>
      <c r="AY14" s="51">
        <v>0</v>
      </c>
      <c r="AZ14" s="52">
        <v>0</v>
      </c>
      <c r="BA14" s="51">
        <v>0</v>
      </c>
      <c r="BB14" s="57">
        <f t="shared" si="2"/>
        <v>0</v>
      </c>
    </row>
    <row r="15" spans="19:54" s="34" customFormat="1" ht="48" customHeight="1" thickBot="1">
      <c r="S15" s="12">
        <v>13</v>
      </c>
      <c r="T15" s="245"/>
      <c r="U15" s="58"/>
      <c r="V15" s="59"/>
      <c r="W15" s="59"/>
      <c r="X15" s="60"/>
      <c r="Y15" s="60"/>
      <c r="Z15" s="61">
        <f t="shared" si="0"/>
        <v>0</v>
      </c>
      <c r="AA15" s="62"/>
      <c r="AB15" s="63"/>
      <c r="AC15" s="64"/>
      <c r="AD15" s="102"/>
      <c r="AE15" s="65"/>
      <c r="AF15" s="66"/>
      <c r="AG15" s="67"/>
      <c r="AH15" s="67"/>
      <c r="AI15" s="67"/>
      <c r="AJ15" s="66"/>
      <c r="AK15" s="68"/>
      <c r="AL15" s="69"/>
      <c r="AM15" s="69"/>
      <c r="AN15" s="69"/>
      <c r="AO15" s="69"/>
      <c r="AP15" s="69"/>
      <c r="AQ15" s="69"/>
      <c r="AR15" s="70"/>
      <c r="AS15" s="71"/>
      <c r="AT15" s="35"/>
      <c r="AU15" s="35"/>
      <c r="AV15" s="35"/>
      <c r="AW15" s="48"/>
      <c r="AX15" s="49">
        <f t="shared" si="1"/>
        <v>0</v>
      </c>
      <c r="AY15" s="50">
        <v>0</v>
      </c>
      <c r="AZ15" s="51">
        <v>0</v>
      </c>
      <c r="BA15" s="52">
        <v>0</v>
      </c>
      <c r="BB15" s="57">
        <f t="shared" si="2"/>
        <v>0</v>
      </c>
    </row>
    <row r="16" spans="19:54" s="72" customFormat="1" ht="50.1" customHeight="1">
      <c r="S16" s="254" t="s">
        <v>42</v>
      </c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5" t="s">
        <v>53</v>
      </c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6" t="s">
        <v>43</v>
      </c>
      <c r="AU16" s="257"/>
      <c r="AV16" s="257"/>
      <c r="AW16" s="257"/>
      <c r="AX16" s="257"/>
      <c r="AY16" s="257"/>
      <c r="AZ16" s="257"/>
      <c r="BA16" s="257"/>
      <c r="BB16" s="258"/>
    </row>
    <row r="17" spans="18:62" s="72" customFormat="1" ht="60" customHeight="1">
      <c r="S17" s="73" t="s">
        <v>15</v>
      </c>
      <c r="T17" s="300" t="s">
        <v>44</v>
      </c>
      <c r="U17" s="301"/>
      <c r="V17" s="302" t="s">
        <v>45</v>
      </c>
      <c r="W17" s="303"/>
      <c r="X17" s="74" t="s">
        <v>46</v>
      </c>
      <c r="Y17" s="75" t="s">
        <v>67</v>
      </c>
      <c r="Z17" s="304" t="s">
        <v>47</v>
      </c>
      <c r="AA17" s="304"/>
      <c r="AB17" s="304"/>
      <c r="AC17" s="304"/>
      <c r="AD17" s="304"/>
      <c r="AE17" s="304"/>
      <c r="AF17" s="304"/>
      <c r="AG17" s="305" t="s">
        <v>48</v>
      </c>
      <c r="AH17" s="306"/>
      <c r="AI17" s="307" t="s">
        <v>49</v>
      </c>
      <c r="AJ17" s="307"/>
      <c r="AK17" s="92"/>
      <c r="AL17" s="308" t="s">
        <v>68</v>
      </c>
      <c r="AM17" s="309"/>
      <c r="AN17" s="310"/>
      <c r="AO17" s="288" t="s">
        <v>50</v>
      </c>
      <c r="AP17" s="289"/>
      <c r="AQ17" s="289"/>
      <c r="AR17" s="289"/>
      <c r="AS17" s="289"/>
      <c r="AT17" s="76" t="s">
        <v>51</v>
      </c>
      <c r="AU17" s="290" t="s">
        <v>33</v>
      </c>
      <c r="AV17" s="291"/>
      <c r="AW17" s="77" t="s">
        <v>34</v>
      </c>
      <c r="AX17" s="77" t="s">
        <v>66</v>
      </c>
      <c r="AY17" s="77" t="s">
        <v>35</v>
      </c>
      <c r="AZ17" s="77" t="s">
        <v>36</v>
      </c>
      <c r="BA17" s="292" t="s">
        <v>52</v>
      </c>
      <c r="BB17" s="293"/>
    </row>
    <row r="18" spans="18:62" ht="60.75" customHeight="1">
      <c r="S18" s="78">
        <v>1</v>
      </c>
      <c r="T18" s="294"/>
      <c r="U18" s="295"/>
      <c r="V18" s="280"/>
      <c r="W18" s="281"/>
      <c r="X18" s="79" t="str">
        <f>TEXT(MOD(V18-T18,1),"h:mm")</f>
        <v>0:00</v>
      </c>
      <c r="Y18" s="80"/>
      <c r="Z18" s="282"/>
      <c r="AA18" s="282"/>
      <c r="AB18" s="282"/>
      <c r="AC18" s="282"/>
      <c r="AD18" s="282"/>
      <c r="AE18" s="282"/>
      <c r="AF18" s="282"/>
      <c r="AG18" s="296">
        <f>SUM(AX7:AX9)</f>
        <v>0</v>
      </c>
      <c r="AH18" s="297"/>
      <c r="AI18" s="298">
        <f>SUM(AX10:AX12)</f>
        <v>0</v>
      </c>
      <c r="AJ18" s="298"/>
      <c r="AK18" s="93"/>
      <c r="AL18" s="298">
        <f>SUM(AX13:AX15)</f>
        <v>0</v>
      </c>
      <c r="AM18" s="298"/>
      <c r="AN18" s="298"/>
      <c r="AO18" s="299">
        <f>SUM(AG18:AN18)</f>
        <v>0</v>
      </c>
      <c r="AP18" s="299"/>
      <c r="AQ18" s="299"/>
      <c r="AR18" s="299"/>
      <c r="AS18" s="299"/>
      <c r="AT18" s="81" t="s">
        <v>1</v>
      </c>
      <c r="AU18" s="276">
        <f>SUM(AS7:AS9)</f>
        <v>0</v>
      </c>
      <c r="AV18" s="277"/>
      <c r="AW18" s="82">
        <f>SUM(AT7:AT9)</f>
        <v>0</v>
      </c>
      <c r="AX18" s="82">
        <f>SUM(AV7:AV9)</f>
        <v>0</v>
      </c>
      <c r="AY18" s="82">
        <f>SUM(AU7:AU9)</f>
        <v>0</v>
      </c>
      <c r="AZ18" s="82">
        <f>SUM(AW7:AW9)</f>
        <v>0</v>
      </c>
      <c r="BA18" s="276">
        <f>SUM(AU18:AZ18)</f>
        <v>0</v>
      </c>
      <c r="BB18" s="277"/>
    </row>
    <row r="19" spans="18:62" ht="60.75" customHeight="1">
      <c r="S19" s="78">
        <v>2</v>
      </c>
      <c r="T19" s="278"/>
      <c r="U19" s="279"/>
      <c r="V19" s="280"/>
      <c r="W19" s="281"/>
      <c r="X19" s="79" t="str">
        <f>TEXT(MOD(V19-T19,1),"h:mm")</f>
        <v>0:00</v>
      </c>
      <c r="Y19" s="80"/>
      <c r="Z19" s="282"/>
      <c r="AA19" s="282"/>
      <c r="AB19" s="282"/>
      <c r="AC19" s="282"/>
      <c r="AD19" s="282"/>
      <c r="AE19" s="282"/>
      <c r="AF19" s="282"/>
      <c r="AG19" s="283" t="s">
        <v>41</v>
      </c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5"/>
      <c r="AT19" s="83" t="s">
        <v>5</v>
      </c>
      <c r="AU19" s="286">
        <f>SUM(AS10:AS12)</f>
        <v>0</v>
      </c>
      <c r="AV19" s="287"/>
      <c r="AW19" s="84">
        <f>SUM(AT10:AT12)</f>
        <v>0</v>
      </c>
      <c r="AX19" s="84">
        <f>SUM(AV10:AV12)</f>
        <v>0</v>
      </c>
      <c r="AY19" s="84">
        <f>SUM(AU10:AU12)</f>
        <v>0</v>
      </c>
      <c r="AZ19" s="84">
        <f>SUM(AW10:AW12)</f>
        <v>0</v>
      </c>
      <c r="BA19" s="286">
        <f>SUM(AU19:AZ19)</f>
        <v>0</v>
      </c>
      <c r="BB19" s="287"/>
    </row>
    <row r="20" spans="18:62" ht="60.75" customHeight="1">
      <c r="S20" s="78">
        <v>3</v>
      </c>
      <c r="T20" s="278"/>
      <c r="U20" s="279"/>
      <c r="V20" s="280"/>
      <c r="W20" s="281"/>
      <c r="X20" s="79" t="str">
        <f>TEXT(MOD(V20-T20,1),"h:mm")</f>
        <v>0:00</v>
      </c>
      <c r="Y20" s="80"/>
      <c r="Z20" s="327"/>
      <c r="AA20" s="327"/>
      <c r="AB20" s="327"/>
      <c r="AC20" s="327"/>
      <c r="AD20" s="327"/>
      <c r="AE20" s="327"/>
      <c r="AF20" s="327"/>
      <c r="AG20" s="311">
        <f>SUM(BB7:BB9)</f>
        <v>0</v>
      </c>
      <c r="AH20" s="328"/>
      <c r="AI20" s="311">
        <f>SUM(BB10:BB12)</f>
        <v>0</v>
      </c>
      <c r="AJ20" s="328"/>
      <c r="AK20" s="94"/>
      <c r="AL20" s="311">
        <f>SUM(BB13:BB15)</f>
        <v>0</v>
      </c>
      <c r="AM20" s="329"/>
      <c r="AN20" s="328"/>
      <c r="AO20" s="311">
        <f>SUM(AG20:AN20)</f>
        <v>0</v>
      </c>
      <c r="AP20" s="312"/>
      <c r="AQ20" s="312"/>
      <c r="AR20" s="312"/>
      <c r="AS20" s="313"/>
      <c r="AT20" s="91" t="s">
        <v>65</v>
      </c>
      <c r="AU20" s="314">
        <f>SUM(AS13:AS15)</f>
        <v>0</v>
      </c>
      <c r="AV20" s="315"/>
      <c r="AW20" s="99">
        <f>SUM(AT13:AT15)</f>
        <v>0</v>
      </c>
      <c r="AX20" s="99">
        <f>SUM(AV13:AV15)</f>
        <v>0</v>
      </c>
      <c r="AY20" s="99">
        <f>SUM(AU13:AU15)</f>
        <v>0</v>
      </c>
      <c r="AZ20" s="99">
        <f>SUM(AW13:AW15)</f>
        <v>0</v>
      </c>
      <c r="BA20" s="316">
        <f>SUM(AU20:AZ20)</f>
        <v>0</v>
      </c>
      <c r="BB20" s="317"/>
    </row>
    <row r="21" spans="18:62" ht="60.75" customHeight="1">
      <c r="S21" s="78">
        <v>4</v>
      </c>
      <c r="T21" s="278"/>
      <c r="U21" s="279"/>
      <c r="V21" s="280"/>
      <c r="W21" s="281"/>
      <c r="X21" s="79" t="str">
        <f>TEXT(MOD(V21-T21,1),"h:mm")</f>
        <v>0:00</v>
      </c>
      <c r="Y21" s="80"/>
      <c r="Z21" s="318"/>
      <c r="AA21" s="318"/>
      <c r="AB21" s="318"/>
      <c r="AC21" s="318"/>
      <c r="AD21" s="318"/>
      <c r="AE21" s="318"/>
      <c r="AF21" s="318"/>
      <c r="AG21" s="319" t="s">
        <v>54</v>
      </c>
      <c r="AH21" s="320"/>
      <c r="AI21" s="320"/>
      <c r="AJ21" s="320"/>
      <c r="AK21" s="320"/>
      <c r="AL21" s="320"/>
      <c r="AM21" s="320"/>
      <c r="AN21" s="320"/>
      <c r="AO21" s="320"/>
      <c r="AP21" s="320"/>
      <c r="AQ21" s="320"/>
      <c r="AR21" s="320"/>
      <c r="AS21" s="321"/>
      <c r="AT21" s="322" t="s">
        <v>55</v>
      </c>
      <c r="AU21" s="323"/>
      <c r="AV21" s="324"/>
      <c r="AW21" s="325">
        <v>1680</v>
      </c>
      <c r="AX21" s="326"/>
      <c r="AY21" s="322" t="s">
        <v>56</v>
      </c>
      <c r="AZ21" s="324"/>
      <c r="BA21" s="330">
        <v>1628</v>
      </c>
      <c r="BB21" s="331"/>
    </row>
    <row r="22" spans="18:62" ht="54" customHeight="1">
      <c r="S22" s="78">
        <v>5</v>
      </c>
      <c r="T22" s="278"/>
      <c r="U22" s="279"/>
      <c r="V22" s="280"/>
      <c r="W22" s="281"/>
      <c r="X22" s="79" t="str">
        <f>TEXT(MOD(V22-T22,1),"h:mm")</f>
        <v>0:00</v>
      </c>
      <c r="Y22" s="80"/>
      <c r="Z22" s="318"/>
      <c r="AA22" s="318"/>
      <c r="AB22" s="318"/>
      <c r="AC22" s="318"/>
      <c r="AD22" s="318"/>
      <c r="AE22" s="318"/>
      <c r="AF22" s="318"/>
      <c r="AG22" s="357">
        <f>SUM(AY7:BA9)</f>
        <v>0</v>
      </c>
      <c r="AH22" s="357"/>
      <c r="AI22" s="298">
        <f>SUM(AY10:BA12)</f>
        <v>0</v>
      </c>
      <c r="AJ22" s="298"/>
      <c r="AK22" s="95"/>
      <c r="AL22" s="358">
        <f>SUM(AY13:BA15)</f>
        <v>0</v>
      </c>
      <c r="AM22" s="358"/>
      <c r="AN22" s="359"/>
      <c r="AO22" s="360">
        <f>SUM(AG22:AN22)</f>
        <v>0</v>
      </c>
      <c r="AP22" s="361"/>
      <c r="AQ22" s="361"/>
      <c r="AR22" s="361"/>
      <c r="AS22" s="362"/>
      <c r="AT22" s="98" t="s">
        <v>69</v>
      </c>
      <c r="AU22" s="363" t="s">
        <v>48</v>
      </c>
      <c r="AV22" s="364"/>
      <c r="AW22" s="365" t="s">
        <v>49</v>
      </c>
      <c r="AX22" s="366"/>
      <c r="AY22" s="332" t="s">
        <v>68</v>
      </c>
      <c r="AZ22" s="333"/>
      <c r="BA22" s="334" t="s">
        <v>57</v>
      </c>
      <c r="BB22" s="335"/>
    </row>
    <row r="23" spans="18:62" ht="59.25" customHeight="1">
      <c r="S23" s="336" t="s">
        <v>61</v>
      </c>
      <c r="T23" s="337"/>
      <c r="U23" s="337"/>
      <c r="V23" s="337"/>
      <c r="W23" s="338"/>
      <c r="X23" s="85">
        <f>SUM(X18+X19+X20+X21+X22)</f>
        <v>0</v>
      </c>
      <c r="Y23" s="132" t="s">
        <v>62</v>
      </c>
      <c r="Z23" s="86"/>
      <c r="AA23" s="87"/>
      <c r="AB23" s="87"/>
      <c r="AC23" s="339" t="s">
        <v>63</v>
      </c>
      <c r="AD23" s="339"/>
      <c r="AE23" s="340"/>
      <c r="AF23" s="341"/>
      <c r="AG23" s="342" t="s">
        <v>22</v>
      </c>
      <c r="AH23" s="343"/>
      <c r="AI23" s="344"/>
      <c r="AJ23" s="345" t="s">
        <v>48</v>
      </c>
      <c r="AK23" s="346"/>
      <c r="AL23" s="346"/>
      <c r="AM23" s="347"/>
      <c r="AN23" s="348" t="s">
        <v>49</v>
      </c>
      <c r="AO23" s="348"/>
      <c r="AP23" s="348"/>
      <c r="AQ23" s="349" t="s">
        <v>68</v>
      </c>
      <c r="AR23" s="350"/>
      <c r="AS23" s="351"/>
      <c r="AT23" s="96" t="s">
        <v>60</v>
      </c>
      <c r="AU23" s="352">
        <f>SUM(AQ7:AQ9)</f>
        <v>0</v>
      </c>
      <c r="AV23" s="353"/>
      <c r="AW23" s="352">
        <f>SUM(AQ10:AQ12)</f>
        <v>0</v>
      </c>
      <c r="AX23" s="354"/>
      <c r="AY23" s="352">
        <f>SUM(AQ13:AQ15)</f>
        <v>0</v>
      </c>
      <c r="AZ23" s="353"/>
      <c r="BA23" s="355">
        <f>SUM(AU23:AZ23)</f>
        <v>0</v>
      </c>
      <c r="BB23" s="356"/>
    </row>
    <row r="24" spans="18:62" ht="57" customHeight="1">
      <c r="S24" s="367"/>
      <c r="T24" s="368"/>
      <c r="U24" s="368"/>
      <c r="V24" s="368"/>
      <c r="W24" s="369"/>
      <c r="X24" s="373" t="s">
        <v>73</v>
      </c>
      <c r="Y24" s="104" t="s">
        <v>70</v>
      </c>
      <c r="Z24" s="105" t="s">
        <v>71</v>
      </c>
      <c r="AA24" s="103"/>
      <c r="AB24" s="103"/>
      <c r="AC24" s="375" t="s">
        <v>72</v>
      </c>
      <c r="AD24" s="376"/>
      <c r="AE24" s="377" t="s">
        <v>57</v>
      </c>
      <c r="AF24" s="378"/>
      <c r="AG24" s="379" t="s">
        <v>58</v>
      </c>
      <c r="AH24" s="380"/>
      <c r="AI24" s="381"/>
      <c r="AJ24" s="382">
        <f>AVERAGE(Z7:Z8)</f>
        <v>0</v>
      </c>
      <c r="AK24" s="383"/>
      <c r="AL24" s="383"/>
      <c r="AM24" s="383"/>
      <c r="AN24" s="382">
        <f>AVERAGE(Z10)</f>
        <v>0</v>
      </c>
      <c r="AO24" s="383"/>
      <c r="AP24" s="383"/>
      <c r="AQ24" s="382">
        <f>AVERAGE(Z13:Z15)</f>
        <v>0</v>
      </c>
      <c r="AR24" s="383"/>
      <c r="AS24" s="383"/>
      <c r="AT24" s="97" t="s">
        <v>64</v>
      </c>
      <c r="AU24" s="387">
        <f>SUM(AL7:AP9)</f>
        <v>0</v>
      </c>
      <c r="AV24" s="388"/>
      <c r="AW24" s="387">
        <f>SUM(AL10:AP12)</f>
        <v>0</v>
      </c>
      <c r="AX24" s="388"/>
      <c r="AY24" s="387">
        <f>SUM(AL13:AP15)</f>
        <v>0</v>
      </c>
      <c r="AZ24" s="388"/>
      <c r="BA24" s="389">
        <f>SUM(AU24:AZ24)</f>
        <v>0</v>
      </c>
      <c r="BB24" s="390"/>
    </row>
    <row r="25" spans="18:62" ht="52.5" customHeight="1">
      <c r="S25" s="370"/>
      <c r="T25" s="371"/>
      <c r="U25" s="371"/>
      <c r="V25" s="371"/>
      <c r="W25" s="372"/>
      <c r="X25" s="374"/>
      <c r="Y25" s="106">
        <f>SUM(AD7:AD9)</f>
        <v>0</v>
      </c>
      <c r="Z25" s="106">
        <f>SUM(AD10:AD12)</f>
        <v>0</v>
      </c>
      <c r="AA25" s="107"/>
      <c r="AB25" s="107"/>
      <c r="AC25" s="391">
        <f>SUM(AD13:AD14)</f>
        <v>0</v>
      </c>
      <c r="AD25" s="392"/>
      <c r="AE25" s="393">
        <f>SUM(Y25:AD25)</f>
        <v>0</v>
      </c>
      <c r="AF25" s="394"/>
      <c r="AG25" s="379" t="s">
        <v>59</v>
      </c>
      <c r="AH25" s="380"/>
      <c r="AI25" s="381"/>
      <c r="AJ25" s="382">
        <f>SUM(Z7:Z9)</f>
        <v>0</v>
      </c>
      <c r="AK25" s="383"/>
      <c r="AL25" s="383"/>
      <c r="AM25" s="383"/>
      <c r="AN25" s="382">
        <f>SUM(Z10:Z12)</f>
        <v>0</v>
      </c>
      <c r="AO25" s="383"/>
      <c r="AP25" s="383"/>
      <c r="AQ25" s="382">
        <f>SUM(Z13:Z15)</f>
        <v>0</v>
      </c>
      <c r="AR25" s="383"/>
      <c r="AS25" s="383"/>
      <c r="AT25" s="384"/>
      <c r="AU25" s="385"/>
      <c r="AV25" s="385"/>
      <c r="AW25" s="385"/>
      <c r="AX25" s="385"/>
      <c r="AY25" s="385"/>
      <c r="AZ25" s="385"/>
      <c r="BA25" s="385"/>
      <c r="BB25" s="386"/>
    </row>
    <row r="26" spans="18:62" ht="60.75" customHeight="1"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8:62" ht="30" customHeight="1"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8:62" ht="30" customHeight="1"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T28" s="4"/>
      <c r="AU28" s="4"/>
      <c r="AV28" s="4"/>
      <c r="AW28" s="4"/>
      <c r="AX28" s="4"/>
      <c r="AY28" s="4"/>
      <c r="AZ28" s="4"/>
      <c r="BA28" s="4"/>
    </row>
    <row r="29" spans="18:62" ht="30" customHeight="1"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T29" s="4"/>
      <c r="AU29" s="4"/>
      <c r="AV29" s="4"/>
      <c r="AW29" s="4"/>
      <c r="AX29" s="4"/>
      <c r="AY29" s="4"/>
      <c r="AZ29" s="4"/>
      <c r="BA29" s="4"/>
    </row>
    <row r="30" spans="18:62" ht="30" customHeight="1">
      <c r="R30" s="3"/>
      <c r="S30" s="3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T30" s="4"/>
      <c r="AU30" s="4"/>
      <c r="AV30" s="4"/>
      <c r="AW30" s="4"/>
      <c r="AX30" s="4"/>
      <c r="AY30" s="4"/>
      <c r="AZ30" s="4"/>
      <c r="BA30" s="4"/>
    </row>
    <row r="31" spans="18:62" ht="30" customHeight="1">
      <c r="R31" s="3"/>
      <c r="S31" s="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T31" s="4"/>
      <c r="AU31" s="4"/>
      <c r="AV31" s="4"/>
      <c r="AW31" s="4"/>
      <c r="AX31" s="4"/>
      <c r="AY31" s="4"/>
      <c r="AZ31" s="4"/>
      <c r="BA31" s="4"/>
    </row>
    <row r="32" spans="18:62" ht="15" customHeight="1">
      <c r="S32" s="3"/>
      <c r="BJ32" s="4">
        <v>8</v>
      </c>
    </row>
  </sheetData>
  <mergeCells count="145">
    <mergeCell ref="S1:W3"/>
    <mergeCell ref="X1:Y3"/>
    <mergeCell ref="AC1:AE1"/>
    <mergeCell ref="AF1:AH1"/>
    <mergeCell ref="AI1:AL1"/>
    <mergeCell ref="AM1:AP1"/>
    <mergeCell ref="AF3:AH3"/>
    <mergeCell ref="AI3:AL3"/>
    <mergeCell ref="AM3:AP3"/>
    <mergeCell ref="AQ1:AT1"/>
    <mergeCell ref="AU1:AW1"/>
    <mergeCell ref="AF5:AF6"/>
    <mergeCell ref="AG5:AG6"/>
    <mergeCell ref="AX1:BB3"/>
    <mergeCell ref="AC2:AE2"/>
    <mergeCell ref="AF2:AH2"/>
    <mergeCell ref="AI2:AL2"/>
    <mergeCell ref="AM2:AP2"/>
    <mergeCell ref="AQ2:AT2"/>
    <mergeCell ref="AU2:AW2"/>
    <mergeCell ref="AC3:AE3"/>
    <mergeCell ref="AQ3:AT3"/>
    <mergeCell ref="AU3:AW3"/>
    <mergeCell ref="AX4:BB4"/>
    <mergeCell ref="BA5:BA6"/>
    <mergeCell ref="BB5:BB6"/>
    <mergeCell ref="S4:Z4"/>
    <mergeCell ref="AA4:AB4"/>
    <mergeCell ref="AC4:AD4"/>
    <mergeCell ref="AE4:AJ4"/>
    <mergeCell ref="AL4:AQ4"/>
    <mergeCell ref="AS4:AW4"/>
    <mergeCell ref="T7:T9"/>
    <mergeCell ref="T10:T12"/>
    <mergeCell ref="T13:T15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S16:AF16"/>
    <mergeCell ref="AG16:AS16"/>
    <mergeCell ref="AT16:BB16"/>
    <mergeCell ref="AU5:AU6"/>
    <mergeCell ref="AV5:AV6"/>
    <mergeCell ref="AW5:AW6"/>
    <mergeCell ref="AX5:AX6"/>
    <mergeCell ref="AY5:AY6"/>
    <mergeCell ref="AZ5:AZ6"/>
    <mergeCell ref="AH5:AH6"/>
    <mergeCell ref="AI5:AI6"/>
    <mergeCell ref="AJ5:AJ6"/>
    <mergeCell ref="AK5:AR5"/>
    <mergeCell ref="AS5:AS6"/>
    <mergeCell ref="AT5:AT6"/>
    <mergeCell ref="AB5:AB6"/>
    <mergeCell ref="AC5:AC6"/>
    <mergeCell ref="AD5:AD6"/>
    <mergeCell ref="AE5:AE6"/>
    <mergeCell ref="AU18:AV18"/>
    <mergeCell ref="BA18:BB18"/>
    <mergeCell ref="T19:U19"/>
    <mergeCell ref="V19:W19"/>
    <mergeCell ref="Z19:AF19"/>
    <mergeCell ref="AG19:AS19"/>
    <mergeCell ref="AU19:AV19"/>
    <mergeCell ref="BA19:BB19"/>
    <mergeCell ref="AO17:AS17"/>
    <mergeCell ref="AU17:AV17"/>
    <mergeCell ref="BA17:BB17"/>
    <mergeCell ref="T18:U18"/>
    <mergeCell ref="V18:W18"/>
    <mergeCell ref="Z18:AF18"/>
    <mergeCell ref="AG18:AH18"/>
    <mergeCell ref="AI18:AJ18"/>
    <mergeCell ref="AL18:AN18"/>
    <mergeCell ref="AO18:AS18"/>
    <mergeCell ref="T17:U17"/>
    <mergeCell ref="V17:W17"/>
    <mergeCell ref="Z17:AF17"/>
    <mergeCell ref="AG17:AH17"/>
    <mergeCell ref="AI17:AJ17"/>
    <mergeCell ref="AL17:AN17"/>
    <mergeCell ref="AO20:AS20"/>
    <mergeCell ref="AU20:AV20"/>
    <mergeCell ref="BA20:BB20"/>
    <mergeCell ref="T21:U21"/>
    <mergeCell ref="V21:W21"/>
    <mergeCell ref="Z21:AF21"/>
    <mergeCell ref="AG21:AS21"/>
    <mergeCell ref="AT21:AV21"/>
    <mergeCell ref="AW21:AX21"/>
    <mergeCell ref="AY21:AZ21"/>
    <mergeCell ref="T20:U20"/>
    <mergeCell ref="V20:W20"/>
    <mergeCell ref="Z20:AF20"/>
    <mergeCell ref="AG20:AH20"/>
    <mergeCell ref="AI20:AJ20"/>
    <mergeCell ref="AL20:AN20"/>
    <mergeCell ref="BA21:BB21"/>
    <mergeCell ref="AY22:AZ22"/>
    <mergeCell ref="BA22:BB22"/>
    <mergeCell ref="S23:W23"/>
    <mergeCell ref="AC23:AD23"/>
    <mergeCell ref="AE23:AF23"/>
    <mergeCell ref="AG23:AI23"/>
    <mergeCell ref="AJ23:AM23"/>
    <mergeCell ref="AN23:AP23"/>
    <mergeCell ref="AQ23:AS23"/>
    <mergeCell ref="AU23:AV23"/>
    <mergeCell ref="AW23:AX23"/>
    <mergeCell ref="AY23:AZ23"/>
    <mergeCell ref="BA23:BB23"/>
    <mergeCell ref="T22:U22"/>
    <mergeCell ref="V22:W22"/>
    <mergeCell ref="Z22:AF22"/>
    <mergeCell ref="AG22:AH22"/>
    <mergeCell ref="AI22:AJ22"/>
    <mergeCell ref="AL22:AN22"/>
    <mergeCell ref="AO22:AS22"/>
    <mergeCell ref="AU22:AV22"/>
    <mergeCell ref="AW22:AX22"/>
    <mergeCell ref="S24:W25"/>
    <mergeCell ref="X24:X25"/>
    <mergeCell ref="AC24:AD24"/>
    <mergeCell ref="AE24:AF24"/>
    <mergeCell ref="AG24:AI24"/>
    <mergeCell ref="AJ24:AM24"/>
    <mergeCell ref="AN24:AP24"/>
    <mergeCell ref="AQ25:AS25"/>
    <mergeCell ref="AT25:BB25"/>
    <mergeCell ref="AQ24:AS24"/>
    <mergeCell ref="AU24:AV24"/>
    <mergeCell ref="AW24:AX24"/>
    <mergeCell ref="AY24:AZ24"/>
    <mergeCell ref="BA24:BB24"/>
    <mergeCell ref="AC25:AD25"/>
    <mergeCell ref="AE25:AF25"/>
    <mergeCell ref="AG25:AI25"/>
    <mergeCell ref="AJ25:AM25"/>
    <mergeCell ref="AN25:AP25"/>
  </mergeCells>
  <conditionalFormatting sqref="Z7:Z15">
    <cfRule type="cellIs" dxfId="194" priority="3" operator="greaterThan">
      <formula>0.167361111111111</formula>
    </cfRule>
    <cfRule type="cellIs" dxfId="193" priority="4" operator="greaterThan">
      <formula>0.15625</formula>
    </cfRule>
  </conditionalFormatting>
  <conditionalFormatting sqref="AA7:AJ15">
    <cfRule type="cellIs" dxfId="192" priority="11" operator="between">
      <formula>1700</formula>
      <formula>1710</formula>
    </cfRule>
    <cfRule type="cellIs" dxfId="191" priority="12" operator="between">
      <formula>1691</formula>
      <formula>1700</formula>
    </cfRule>
  </conditionalFormatting>
  <conditionalFormatting sqref="AS7:AS15">
    <cfRule type="expression" dxfId="190" priority="13">
      <formula>IF(($AS7/$AX7)*1000&gt;$AY$1,1,0)</formula>
    </cfRule>
  </conditionalFormatting>
  <conditionalFormatting sqref="AT7:AW15">
    <cfRule type="cellIs" dxfId="189" priority="5" operator="greaterThan">
      <formula>10</formula>
    </cfRule>
  </conditionalFormatting>
  <conditionalFormatting sqref="AX7:AX15">
    <cfRule type="cellIs" dxfId="188" priority="2" operator="between">
      <formula>16000</formula>
      <formula>17200</formula>
    </cfRule>
    <cfRule type="cellIs" dxfId="187" priority="6" operator="lessThan">
      <formula>15800</formula>
    </cfRule>
    <cfRule type="cellIs" dxfId="186" priority="7" operator="greaterThan">
      <formula>18000</formula>
    </cfRule>
  </conditionalFormatting>
  <conditionalFormatting sqref="AZ7:BA15">
    <cfRule type="cellIs" dxfId="185" priority="10" operator="greaterThan">
      <formula>0</formula>
    </cfRule>
  </conditionalFormatting>
  <conditionalFormatting sqref="BB7:BB15">
    <cfRule type="cellIs" dxfId="184" priority="1" operator="between">
      <formula>16000</formula>
      <formula>17200</formula>
    </cfRule>
    <cfRule type="cellIs" dxfId="183" priority="8" operator="greaterThan">
      <formula>18000</formula>
    </cfRule>
    <cfRule type="cellIs" dxfId="182" priority="9" operator="lessThan">
      <formula>15800</formula>
    </cfRule>
  </conditionalFormatting>
  <printOptions horizontalCentered="1" verticalCentered="1"/>
  <pageMargins left="0" right="0" top="0" bottom="0.21" header="0" footer="0"/>
  <pageSetup paperSize="9" scale="42" orientation="landscape" cellComments="asDisplayed" r:id="rId1"/>
  <headerFooter differentFirst="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EF1BE-C810-44D9-8C6A-ED9C875D89BD}">
  <sheetPr>
    <tabColor theme="5"/>
    <pageSetUpPr fitToPage="1"/>
  </sheetPr>
  <dimension ref="R1:BJ32"/>
  <sheetViews>
    <sheetView showGridLines="0" rightToLeft="1" topLeftCell="K1" zoomScale="55" zoomScaleNormal="55" zoomScalePageLayoutView="40" workbookViewId="0">
      <selection activeCell="W11" sqref="W11"/>
    </sheetView>
  </sheetViews>
  <sheetFormatPr defaultColWidth="9.140625" defaultRowHeight="15"/>
  <cols>
    <col min="1" max="18" width="9.140625" style="4"/>
    <col min="19" max="19" width="5.7109375" style="4" customWidth="1"/>
    <col min="20" max="20" width="9.5703125" style="3" customWidth="1"/>
    <col min="21" max="21" width="10.7109375" style="3" customWidth="1"/>
    <col min="22" max="22" width="9.42578125" style="88" customWidth="1"/>
    <col min="23" max="23" width="8.85546875" style="88" customWidth="1"/>
    <col min="24" max="24" width="14.42578125" style="3" customWidth="1"/>
    <col min="25" max="25" width="14.7109375" style="3" customWidth="1"/>
    <col min="26" max="26" width="15.140625" style="88" customWidth="1"/>
    <col min="27" max="27" width="9.5703125" style="3" hidden="1" customWidth="1"/>
    <col min="28" max="28" width="10" style="3" hidden="1" customWidth="1"/>
    <col min="29" max="29" width="8.140625" style="3" customWidth="1"/>
    <col min="30" max="30" width="8.5703125" style="3" customWidth="1"/>
    <col min="31" max="31" width="12.42578125" style="3" customWidth="1"/>
    <col min="32" max="32" width="10.5703125" style="3" customWidth="1"/>
    <col min="33" max="33" width="9.5703125" style="3" customWidth="1"/>
    <col min="34" max="34" width="11.42578125" style="3" customWidth="1"/>
    <col min="35" max="35" width="9.42578125" style="3" customWidth="1"/>
    <col min="36" max="36" width="9.28515625" style="3" customWidth="1"/>
    <col min="37" max="37" width="6.7109375" style="3" hidden="1" customWidth="1"/>
    <col min="38" max="42" width="6.7109375" style="3" customWidth="1"/>
    <col min="43" max="43" width="8.140625" style="3" customWidth="1"/>
    <col min="44" max="44" width="6.7109375" style="3" hidden="1" customWidth="1"/>
    <col min="45" max="45" width="10.42578125" style="3" customWidth="1"/>
    <col min="46" max="46" width="8.7109375" style="3" customWidth="1"/>
    <col min="47" max="47" width="8.5703125" style="3" customWidth="1"/>
    <col min="48" max="48" width="8.7109375" style="3" customWidth="1"/>
    <col min="49" max="49" width="9.5703125" style="3" customWidth="1"/>
    <col min="50" max="50" width="12.42578125" style="88" customWidth="1"/>
    <col min="51" max="51" width="11.85546875" style="3" customWidth="1"/>
    <col min="52" max="52" width="11.5703125" style="3" customWidth="1"/>
    <col min="53" max="53" width="13.42578125" style="3" customWidth="1"/>
    <col min="54" max="54" width="13.5703125" style="4" customWidth="1"/>
    <col min="55" max="57" width="9.140625" style="4"/>
    <col min="58" max="58" width="25" style="4" customWidth="1"/>
    <col min="59" max="61" width="9.140625" style="4"/>
    <col min="62" max="62" width="23.5703125" style="4" customWidth="1"/>
    <col min="63" max="16384" width="9.140625" style="4"/>
  </cols>
  <sheetData>
    <row r="1" spans="19:54" ht="36.75" customHeight="1" thickBot="1">
      <c r="S1" s="180"/>
      <c r="T1" s="181"/>
      <c r="U1" s="181"/>
      <c r="V1" s="181"/>
      <c r="W1" s="181"/>
      <c r="X1" s="182" t="s">
        <v>0</v>
      </c>
      <c r="Y1" s="183"/>
      <c r="Z1" s="1" t="s">
        <v>1</v>
      </c>
      <c r="AA1" s="2"/>
      <c r="AC1" s="188" t="s">
        <v>2</v>
      </c>
      <c r="AD1" s="189"/>
      <c r="AE1" s="189"/>
      <c r="AF1" s="190" t="s">
        <v>75</v>
      </c>
      <c r="AG1" s="191"/>
      <c r="AH1" s="192"/>
      <c r="AI1" s="193" t="s">
        <v>3</v>
      </c>
      <c r="AJ1" s="194"/>
      <c r="AK1" s="194"/>
      <c r="AL1" s="195"/>
      <c r="AM1" s="196" t="s">
        <v>76</v>
      </c>
      <c r="AN1" s="197"/>
      <c r="AO1" s="197"/>
      <c r="AP1" s="198"/>
      <c r="AQ1" s="203" t="s">
        <v>4</v>
      </c>
      <c r="AR1" s="204"/>
      <c r="AS1" s="204"/>
      <c r="AT1" s="205"/>
      <c r="AU1" s="206" t="s">
        <v>74</v>
      </c>
      <c r="AV1" s="207"/>
      <c r="AW1" s="208"/>
      <c r="AX1" s="211" t="s">
        <v>106</v>
      </c>
      <c r="AY1" s="211"/>
      <c r="AZ1" s="211"/>
      <c r="BA1" s="211"/>
      <c r="BB1" s="211"/>
    </row>
    <row r="2" spans="19:54" ht="36.75" customHeight="1" thickBot="1">
      <c r="S2" s="180"/>
      <c r="T2" s="181"/>
      <c r="U2" s="181"/>
      <c r="V2" s="181"/>
      <c r="W2" s="181"/>
      <c r="X2" s="184"/>
      <c r="Y2" s="185"/>
      <c r="Z2" s="5" t="s">
        <v>5</v>
      </c>
      <c r="AA2" s="89"/>
      <c r="AC2" s="188" t="s">
        <v>2</v>
      </c>
      <c r="AD2" s="189"/>
      <c r="AE2" s="212"/>
      <c r="AF2" s="190" t="s">
        <v>78</v>
      </c>
      <c r="AG2" s="191"/>
      <c r="AH2" s="192"/>
      <c r="AI2" s="193" t="s">
        <v>3</v>
      </c>
      <c r="AJ2" s="194"/>
      <c r="AK2" s="194"/>
      <c r="AL2" s="195"/>
      <c r="AM2" s="202" t="s">
        <v>79</v>
      </c>
      <c r="AN2" s="202"/>
      <c r="AO2" s="202"/>
      <c r="AP2" s="202"/>
      <c r="AQ2" s="203" t="s">
        <v>4</v>
      </c>
      <c r="AR2" s="204"/>
      <c r="AS2" s="204"/>
      <c r="AT2" s="205"/>
      <c r="AU2" s="213" t="s">
        <v>77</v>
      </c>
      <c r="AV2" s="213"/>
      <c r="AW2" s="213"/>
      <c r="AX2" s="211"/>
      <c r="AY2" s="211"/>
      <c r="AZ2" s="211"/>
      <c r="BA2" s="211"/>
      <c r="BB2" s="211"/>
    </row>
    <row r="3" spans="19:54" ht="38.25" customHeight="1" thickBot="1">
      <c r="S3" s="181"/>
      <c r="T3" s="181"/>
      <c r="U3" s="181"/>
      <c r="V3" s="181"/>
      <c r="W3" s="181"/>
      <c r="X3" s="186"/>
      <c r="Y3" s="187"/>
      <c r="Z3" s="90" t="s">
        <v>65</v>
      </c>
      <c r="AA3" s="6"/>
      <c r="AC3" s="188" t="s">
        <v>6</v>
      </c>
      <c r="AD3" s="189"/>
      <c r="AE3" s="212"/>
      <c r="AF3" s="190" t="s">
        <v>81</v>
      </c>
      <c r="AG3" s="191"/>
      <c r="AH3" s="192"/>
      <c r="AI3" s="199" t="s">
        <v>7</v>
      </c>
      <c r="AJ3" s="200"/>
      <c r="AK3" s="200"/>
      <c r="AL3" s="201"/>
      <c r="AM3" s="202" t="s">
        <v>82</v>
      </c>
      <c r="AN3" s="202"/>
      <c r="AO3" s="202"/>
      <c r="AP3" s="202"/>
      <c r="AQ3" s="203" t="s">
        <v>4</v>
      </c>
      <c r="AR3" s="204"/>
      <c r="AS3" s="204"/>
      <c r="AT3" s="214"/>
      <c r="AU3" s="215" t="s">
        <v>80</v>
      </c>
      <c r="AV3" s="216"/>
      <c r="AW3" s="217"/>
      <c r="AX3" s="211"/>
      <c r="AY3" s="211"/>
      <c r="AZ3" s="211"/>
      <c r="BA3" s="211"/>
      <c r="BB3" s="211"/>
    </row>
    <row r="4" spans="19:54" ht="34.5" customHeight="1" thickBot="1">
      <c r="S4" s="225" t="s">
        <v>8</v>
      </c>
      <c r="T4" s="226"/>
      <c r="U4" s="226"/>
      <c r="V4" s="226"/>
      <c r="W4" s="226"/>
      <c r="X4" s="227"/>
      <c r="Y4" s="227"/>
      <c r="Z4" s="228"/>
      <c r="AA4" s="229" t="s">
        <v>9</v>
      </c>
      <c r="AB4" s="230"/>
      <c r="AC4" s="231" t="s">
        <v>10</v>
      </c>
      <c r="AD4" s="232"/>
      <c r="AE4" s="233" t="s">
        <v>11</v>
      </c>
      <c r="AF4" s="234"/>
      <c r="AG4" s="234"/>
      <c r="AH4" s="234"/>
      <c r="AI4" s="234"/>
      <c r="AJ4" s="235"/>
      <c r="AK4" s="7"/>
      <c r="AL4" s="236" t="s">
        <v>12</v>
      </c>
      <c r="AM4" s="237"/>
      <c r="AN4" s="237"/>
      <c r="AO4" s="237"/>
      <c r="AP4" s="237"/>
      <c r="AQ4" s="237"/>
      <c r="AR4" s="8"/>
      <c r="AS4" s="238" t="s">
        <v>13</v>
      </c>
      <c r="AT4" s="239"/>
      <c r="AU4" s="239"/>
      <c r="AV4" s="239"/>
      <c r="AW4" s="240"/>
      <c r="AX4" s="218" t="s">
        <v>14</v>
      </c>
      <c r="AY4" s="219"/>
      <c r="AZ4" s="219"/>
      <c r="BA4" s="219"/>
      <c r="BB4" s="220"/>
    </row>
    <row r="5" spans="19:54" ht="52.5" customHeight="1">
      <c r="S5" s="246" t="s">
        <v>15</v>
      </c>
      <c r="T5" s="248" t="s">
        <v>16</v>
      </c>
      <c r="U5" s="248" t="s">
        <v>17</v>
      </c>
      <c r="V5" s="248" t="s">
        <v>18</v>
      </c>
      <c r="W5" s="248" t="s">
        <v>19</v>
      </c>
      <c r="X5" s="248" t="s">
        <v>20</v>
      </c>
      <c r="Y5" s="248" t="s">
        <v>21</v>
      </c>
      <c r="Z5" s="250" t="s">
        <v>22</v>
      </c>
      <c r="AA5" s="252" t="s">
        <v>23</v>
      </c>
      <c r="AB5" s="270" t="s">
        <v>9</v>
      </c>
      <c r="AC5" s="272" t="s">
        <v>24</v>
      </c>
      <c r="AD5" s="272" t="s">
        <v>25</v>
      </c>
      <c r="AE5" s="274" t="s">
        <v>26</v>
      </c>
      <c r="AF5" s="209" t="s">
        <v>27</v>
      </c>
      <c r="AG5" s="209" t="s">
        <v>28</v>
      </c>
      <c r="AH5" s="263" t="s">
        <v>29</v>
      </c>
      <c r="AI5" s="263" t="s">
        <v>30</v>
      </c>
      <c r="AJ5" s="265" t="s">
        <v>31</v>
      </c>
      <c r="AK5" s="267" t="s">
        <v>32</v>
      </c>
      <c r="AL5" s="268"/>
      <c r="AM5" s="268"/>
      <c r="AN5" s="268"/>
      <c r="AO5" s="268"/>
      <c r="AP5" s="268"/>
      <c r="AQ5" s="268"/>
      <c r="AR5" s="269"/>
      <c r="AS5" s="259" t="s">
        <v>33</v>
      </c>
      <c r="AT5" s="259" t="s">
        <v>34</v>
      </c>
      <c r="AU5" s="259" t="s">
        <v>35</v>
      </c>
      <c r="AV5" s="259" t="s">
        <v>66</v>
      </c>
      <c r="AW5" s="261" t="s">
        <v>36</v>
      </c>
      <c r="AX5" s="252" t="s">
        <v>37</v>
      </c>
      <c r="AY5" s="221" t="s">
        <v>38</v>
      </c>
      <c r="AZ5" s="221" t="s">
        <v>39</v>
      </c>
      <c r="BA5" s="221" t="s">
        <v>40</v>
      </c>
      <c r="BB5" s="223" t="s">
        <v>41</v>
      </c>
    </row>
    <row r="6" spans="19:54" ht="27.95" customHeight="1" thickBot="1">
      <c r="S6" s="247"/>
      <c r="T6" s="249"/>
      <c r="U6" s="249"/>
      <c r="V6" s="249"/>
      <c r="W6" s="249"/>
      <c r="X6" s="249"/>
      <c r="Y6" s="249"/>
      <c r="Z6" s="251"/>
      <c r="AA6" s="253"/>
      <c r="AB6" s="271"/>
      <c r="AC6" s="273"/>
      <c r="AD6" s="273"/>
      <c r="AE6" s="275"/>
      <c r="AF6" s="210"/>
      <c r="AG6" s="210"/>
      <c r="AH6" s="264"/>
      <c r="AI6" s="264"/>
      <c r="AJ6" s="266"/>
      <c r="AK6" s="9">
        <v>1</v>
      </c>
      <c r="AL6" s="10">
        <v>2</v>
      </c>
      <c r="AM6" s="10">
        <v>3</v>
      </c>
      <c r="AN6" s="10">
        <v>4</v>
      </c>
      <c r="AO6" s="10">
        <v>5</v>
      </c>
      <c r="AP6" s="10">
        <v>6</v>
      </c>
      <c r="AQ6" s="10">
        <v>12</v>
      </c>
      <c r="AR6" s="11"/>
      <c r="AS6" s="260"/>
      <c r="AT6" s="260"/>
      <c r="AU6" s="260"/>
      <c r="AV6" s="260"/>
      <c r="AW6" s="262"/>
      <c r="AX6" s="253"/>
      <c r="AY6" s="222"/>
      <c r="AZ6" s="222"/>
      <c r="BA6" s="222"/>
      <c r="BB6" s="224"/>
    </row>
    <row r="7" spans="19:54" s="34" customFormat="1" ht="48" customHeight="1" thickBot="1">
      <c r="S7" s="12">
        <v>1</v>
      </c>
      <c r="T7" s="241" t="s">
        <v>1</v>
      </c>
      <c r="U7" s="13"/>
      <c r="V7" s="14"/>
      <c r="W7" s="15"/>
      <c r="X7" s="16"/>
      <c r="Y7" s="17"/>
      <c r="Z7" s="18">
        <f t="shared" ref="Z7:Z15" si="0">IF(Y7&lt;X7,1+Y7-X7,Y7-X7)</f>
        <v>0</v>
      </c>
      <c r="AA7" s="19"/>
      <c r="AB7" s="20"/>
      <c r="AC7" s="151"/>
      <c r="AD7" s="100"/>
      <c r="AE7" s="22"/>
      <c r="AF7" s="23"/>
      <c r="AG7" s="23"/>
      <c r="AH7" s="23"/>
      <c r="AI7" s="23"/>
      <c r="AJ7" s="24"/>
      <c r="AK7" s="25"/>
      <c r="AL7" s="26"/>
      <c r="AM7" s="26"/>
      <c r="AN7" s="26"/>
      <c r="AO7" s="26"/>
      <c r="AP7" s="26"/>
      <c r="AQ7" s="26"/>
      <c r="AR7" s="27"/>
      <c r="AS7" s="28"/>
      <c r="AT7" s="13"/>
      <c r="AU7" s="13"/>
      <c r="AV7" s="13"/>
      <c r="AW7" s="29"/>
      <c r="AX7" s="30">
        <f t="shared" ref="AX7:AX15" si="1">SUM(AY7:BB7)</f>
        <v>0</v>
      </c>
      <c r="AY7" s="31">
        <v>0</v>
      </c>
      <c r="AZ7" s="32">
        <v>0</v>
      </c>
      <c r="BA7" s="31">
        <v>0</v>
      </c>
      <c r="BB7" s="33">
        <f t="shared" ref="BB7:BB15" si="2">SUM(($AQ$6*AQ7+$AP$6*AP7+$AN$6*AN7+$AM$6*$AM7+$AL$6*AL7+$AK$6*AK7+$AO$6*AO7+$AR$6*AR7)*175)</f>
        <v>0</v>
      </c>
    </row>
    <row r="8" spans="19:54" s="34" customFormat="1" ht="48" customHeight="1" thickBot="1">
      <c r="S8" s="12">
        <v>2</v>
      </c>
      <c r="T8" s="242"/>
      <c r="U8" s="35"/>
      <c r="V8" s="130"/>
      <c r="W8" s="130"/>
      <c r="X8" s="36"/>
      <c r="Y8" s="36"/>
      <c r="Z8" s="37">
        <f t="shared" si="0"/>
        <v>0</v>
      </c>
      <c r="AA8" s="38"/>
      <c r="AB8" s="39"/>
      <c r="AC8" s="152"/>
      <c r="AD8" s="101"/>
      <c r="AE8" s="41"/>
      <c r="AF8" s="42"/>
      <c r="AG8" s="42"/>
      <c r="AH8" s="42"/>
      <c r="AI8" s="42"/>
      <c r="AJ8" s="43"/>
      <c r="AK8" s="44"/>
      <c r="AL8" s="45"/>
      <c r="AM8" s="45"/>
      <c r="AN8" s="45"/>
      <c r="AO8" s="45"/>
      <c r="AP8" s="45"/>
      <c r="AQ8" s="45"/>
      <c r="AR8" s="46"/>
      <c r="AS8" s="47"/>
      <c r="AT8" s="35"/>
      <c r="AU8" s="35"/>
      <c r="AV8" s="35"/>
      <c r="AW8" s="48"/>
      <c r="AX8" s="49">
        <f t="shared" si="1"/>
        <v>0</v>
      </c>
      <c r="AY8" s="50">
        <v>0</v>
      </c>
      <c r="AZ8" s="51">
        <v>0</v>
      </c>
      <c r="BA8" s="52">
        <v>0</v>
      </c>
      <c r="BB8" s="53">
        <f t="shared" si="2"/>
        <v>0</v>
      </c>
    </row>
    <row r="9" spans="19:54" s="34" customFormat="1" ht="48" customHeight="1" thickBot="1">
      <c r="S9" s="12">
        <v>3</v>
      </c>
      <c r="T9" s="242"/>
      <c r="U9" s="35"/>
      <c r="V9" s="130"/>
      <c r="W9" s="130"/>
      <c r="X9" s="36"/>
      <c r="Y9" s="36"/>
      <c r="Z9" s="37">
        <f t="shared" si="0"/>
        <v>0</v>
      </c>
      <c r="AA9" s="38"/>
      <c r="AB9" s="39"/>
      <c r="AC9" s="152"/>
      <c r="AD9" s="101"/>
      <c r="AE9" s="41"/>
      <c r="AF9" s="42"/>
      <c r="AG9" s="42"/>
      <c r="AH9" s="42"/>
      <c r="AI9" s="42"/>
      <c r="AJ9" s="43"/>
      <c r="AK9" s="44"/>
      <c r="AL9" s="45"/>
      <c r="AM9" s="45"/>
      <c r="AN9" s="45"/>
      <c r="AO9" s="45"/>
      <c r="AP9" s="45"/>
      <c r="AQ9" s="45"/>
      <c r="AR9" s="46"/>
      <c r="AS9" s="47"/>
      <c r="AT9" s="35"/>
      <c r="AU9" s="35"/>
      <c r="AV9" s="35"/>
      <c r="AW9" s="48"/>
      <c r="AX9" s="49">
        <f t="shared" si="1"/>
        <v>0</v>
      </c>
      <c r="AY9" s="51">
        <v>0</v>
      </c>
      <c r="AZ9" s="52">
        <v>0</v>
      </c>
      <c r="BA9" s="51">
        <v>0</v>
      </c>
      <c r="BB9" s="53">
        <f t="shared" si="2"/>
        <v>0</v>
      </c>
    </row>
    <row r="10" spans="19:54" s="34" customFormat="1" ht="48" customHeight="1" thickBot="1">
      <c r="S10" s="12">
        <v>4</v>
      </c>
      <c r="T10" s="243" t="s">
        <v>5</v>
      </c>
      <c r="U10" s="35"/>
      <c r="V10" s="130"/>
      <c r="W10" s="130"/>
      <c r="X10" s="36"/>
      <c r="Y10" s="36"/>
      <c r="Z10" s="37">
        <f t="shared" si="0"/>
        <v>0</v>
      </c>
      <c r="AA10" s="38"/>
      <c r="AB10" s="39"/>
      <c r="AC10" s="152"/>
      <c r="AD10" s="101"/>
      <c r="AE10" s="41"/>
      <c r="AF10" s="42"/>
      <c r="AG10" s="42"/>
      <c r="AH10" s="42"/>
      <c r="AI10" s="42"/>
      <c r="AJ10" s="43"/>
      <c r="AK10" s="44"/>
      <c r="AL10" s="45"/>
      <c r="AM10" s="45"/>
      <c r="AN10" s="45"/>
      <c r="AO10" s="45"/>
      <c r="AP10" s="45"/>
      <c r="AQ10" s="45"/>
      <c r="AR10" s="46"/>
      <c r="AS10" s="47"/>
      <c r="AT10" s="35"/>
      <c r="AU10" s="35"/>
      <c r="AV10" s="35"/>
      <c r="AW10" s="48"/>
      <c r="AX10" s="49">
        <f t="shared" si="1"/>
        <v>0</v>
      </c>
      <c r="AY10" s="51">
        <v>0</v>
      </c>
      <c r="AZ10" s="52">
        <v>0</v>
      </c>
      <c r="BA10" s="51">
        <v>0</v>
      </c>
      <c r="BB10" s="53">
        <f t="shared" si="2"/>
        <v>0</v>
      </c>
    </row>
    <row r="11" spans="19:54" s="34" customFormat="1" ht="48" customHeight="1" thickBot="1">
      <c r="S11" s="12">
        <v>5</v>
      </c>
      <c r="T11" s="243"/>
      <c r="U11" s="35"/>
      <c r="V11" s="130"/>
      <c r="W11" s="130"/>
      <c r="X11" s="36"/>
      <c r="Y11" s="120"/>
      <c r="Z11" s="37">
        <f t="shared" si="0"/>
        <v>0</v>
      </c>
      <c r="AA11" s="38"/>
      <c r="AB11" s="39"/>
      <c r="AC11" s="152"/>
      <c r="AD11" s="101"/>
      <c r="AE11" s="41"/>
      <c r="AF11" s="42"/>
      <c r="AG11" s="42"/>
      <c r="AH11" s="42"/>
      <c r="AI11" s="42"/>
      <c r="AJ11" s="43"/>
      <c r="AK11" s="44"/>
      <c r="AL11" s="45"/>
      <c r="AM11" s="45"/>
      <c r="AN11" s="45"/>
      <c r="AO11" s="45"/>
      <c r="AP11" s="45"/>
      <c r="AQ11" s="45"/>
      <c r="AR11" s="46"/>
      <c r="AS11" s="47"/>
      <c r="AT11" s="35"/>
      <c r="AU11" s="35"/>
      <c r="AV11" s="35"/>
      <c r="AW11" s="48"/>
      <c r="AX11" s="49">
        <f t="shared" si="1"/>
        <v>0</v>
      </c>
      <c r="AY11" s="50">
        <v>0</v>
      </c>
      <c r="AZ11" s="51">
        <v>0</v>
      </c>
      <c r="BA11" s="52">
        <v>0</v>
      </c>
      <c r="BB11" s="53">
        <f t="shared" si="2"/>
        <v>0</v>
      </c>
    </row>
    <row r="12" spans="19:54" s="34" customFormat="1" ht="48" customHeight="1" thickBot="1">
      <c r="S12" s="12">
        <v>10</v>
      </c>
      <c r="T12" s="243"/>
      <c r="U12" s="13"/>
      <c r="V12" s="14"/>
      <c r="W12" s="14"/>
      <c r="X12" s="54"/>
      <c r="Y12" s="54"/>
      <c r="Z12" s="55">
        <f t="shared" si="0"/>
        <v>0</v>
      </c>
      <c r="AA12" s="19"/>
      <c r="AB12" s="20"/>
      <c r="AC12" s="151"/>
      <c r="AD12" s="100"/>
      <c r="AE12" s="22"/>
      <c r="AF12" s="23"/>
      <c r="AG12" s="23"/>
      <c r="AH12" s="23"/>
      <c r="AI12" s="23"/>
      <c r="AJ12" s="24"/>
      <c r="AK12" s="25"/>
      <c r="AL12" s="26"/>
      <c r="AM12" s="26"/>
      <c r="AN12" s="26"/>
      <c r="AO12" s="26"/>
      <c r="AP12" s="26"/>
      <c r="AQ12" s="26"/>
      <c r="AR12" s="27"/>
      <c r="AS12" s="28"/>
      <c r="AT12" s="13"/>
      <c r="AU12" s="13"/>
      <c r="AV12" s="13"/>
      <c r="AW12" s="29"/>
      <c r="AX12" s="30">
        <f t="shared" si="1"/>
        <v>0</v>
      </c>
      <c r="AY12" s="31">
        <v>0</v>
      </c>
      <c r="AZ12" s="32">
        <v>0</v>
      </c>
      <c r="BA12" s="31">
        <v>0</v>
      </c>
      <c r="BB12" s="56">
        <f t="shared" si="2"/>
        <v>0</v>
      </c>
    </row>
    <row r="13" spans="19:54" s="34" customFormat="1" ht="48" customHeight="1" thickBot="1">
      <c r="S13" s="12">
        <v>11</v>
      </c>
      <c r="T13" s="244" t="s">
        <v>65</v>
      </c>
      <c r="U13" s="35"/>
      <c r="V13" s="130"/>
      <c r="W13" s="130"/>
      <c r="X13" s="36"/>
      <c r="Y13" s="36"/>
      <c r="Z13" s="37">
        <f t="shared" si="0"/>
        <v>0</v>
      </c>
      <c r="AA13" s="38"/>
      <c r="AB13" s="39"/>
      <c r="AC13" s="40"/>
      <c r="AD13" s="101"/>
      <c r="AE13" s="41"/>
      <c r="AF13" s="42"/>
      <c r="AG13" s="42"/>
      <c r="AH13" s="42"/>
      <c r="AI13" s="42"/>
      <c r="AJ13" s="43"/>
      <c r="AK13" s="44"/>
      <c r="AL13" s="45"/>
      <c r="AM13" s="45"/>
      <c r="AN13" s="45"/>
      <c r="AO13" s="45"/>
      <c r="AP13" s="45"/>
      <c r="AQ13" s="45"/>
      <c r="AR13" s="46"/>
      <c r="AS13" s="47"/>
      <c r="AT13" s="35"/>
      <c r="AU13" s="35"/>
      <c r="AV13" s="35"/>
      <c r="AW13" s="48"/>
      <c r="AX13" s="49">
        <f t="shared" si="1"/>
        <v>0</v>
      </c>
      <c r="AY13" s="50">
        <v>0</v>
      </c>
      <c r="AZ13" s="51">
        <v>0</v>
      </c>
      <c r="BA13" s="52">
        <v>0</v>
      </c>
      <c r="BB13" s="57">
        <f t="shared" si="2"/>
        <v>0</v>
      </c>
    </row>
    <row r="14" spans="19:54" s="34" customFormat="1" ht="48" customHeight="1" thickBot="1">
      <c r="S14" s="12">
        <v>12</v>
      </c>
      <c r="T14" s="244"/>
      <c r="U14" s="35"/>
      <c r="V14" s="130"/>
      <c r="W14" s="130"/>
      <c r="X14" s="36"/>
      <c r="Y14" s="36"/>
      <c r="Z14" s="37">
        <f>IF(Y14&lt;X14,1+Y14-X14,Y14-X14)</f>
        <v>0</v>
      </c>
      <c r="AA14" s="38"/>
      <c r="AB14" s="39"/>
      <c r="AC14" s="40"/>
      <c r="AD14" s="101"/>
      <c r="AE14" s="41"/>
      <c r="AF14" s="42"/>
      <c r="AG14" s="42"/>
      <c r="AH14" s="42"/>
      <c r="AI14" s="42"/>
      <c r="AJ14" s="43"/>
      <c r="AK14" s="44"/>
      <c r="AL14" s="45"/>
      <c r="AM14" s="45"/>
      <c r="AN14" s="45"/>
      <c r="AO14" s="45"/>
      <c r="AP14" s="45"/>
      <c r="AQ14" s="45"/>
      <c r="AR14" s="46"/>
      <c r="AS14" s="47"/>
      <c r="AT14" s="35"/>
      <c r="AU14" s="35"/>
      <c r="AV14" s="35"/>
      <c r="AW14" s="48"/>
      <c r="AX14" s="49">
        <f t="shared" si="1"/>
        <v>0</v>
      </c>
      <c r="AY14" s="51">
        <v>0</v>
      </c>
      <c r="AZ14" s="52">
        <v>0</v>
      </c>
      <c r="BA14" s="51">
        <v>0</v>
      </c>
      <c r="BB14" s="57">
        <f t="shared" si="2"/>
        <v>0</v>
      </c>
    </row>
    <row r="15" spans="19:54" s="34" customFormat="1" ht="48" customHeight="1" thickBot="1">
      <c r="S15" s="12">
        <v>13</v>
      </c>
      <c r="T15" s="245"/>
      <c r="U15" s="58"/>
      <c r="V15" s="59"/>
      <c r="W15" s="59"/>
      <c r="X15" s="60"/>
      <c r="Y15" s="60"/>
      <c r="Z15" s="61">
        <f t="shared" si="0"/>
        <v>0</v>
      </c>
      <c r="AA15" s="62"/>
      <c r="AB15" s="63"/>
      <c r="AC15" s="64"/>
      <c r="AD15" s="102"/>
      <c r="AE15" s="65"/>
      <c r="AF15" s="66"/>
      <c r="AG15" s="67"/>
      <c r="AH15" s="67"/>
      <c r="AI15" s="67"/>
      <c r="AJ15" s="66"/>
      <c r="AK15" s="68"/>
      <c r="AL15" s="69"/>
      <c r="AM15" s="69"/>
      <c r="AN15" s="69"/>
      <c r="AO15" s="69"/>
      <c r="AP15" s="69"/>
      <c r="AQ15" s="69"/>
      <c r="AR15" s="70"/>
      <c r="AS15" s="71"/>
      <c r="AT15" s="35"/>
      <c r="AU15" s="35"/>
      <c r="AV15" s="35"/>
      <c r="AW15" s="48"/>
      <c r="AX15" s="49">
        <f t="shared" si="1"/>
        <v>0</v>
      </c>
      <c r="AY15" s="50">
        <v>0</v>
      </c>
      <c r="AZ15" s="51">
        <v>0</v>
      </c>
      <c r="BA15" s="52">
        <v>0</v>
      </c>
      <c r="BB15" s="57">
        <f t="shared" si="2"/>
        <v>0</v>
      </c>
    </row>
    <row r="16" spans="19:54" s="72" customFormat="1" ht="50.1" customHeight="1">
      <c r="S16" s="254" t="s">
        <v>42</v>
      </c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5" t="s">
        <v>53</v>
      </c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6" t="s">
        <v>43</v>
      </c>
      <c r="AU16" s="257"/>
      <c r="AV16" s="257"/>
      <c r="AW16" s="257"/>
      <c r="AX16" s="257"/>
      <c r="AY16" s="257"/>
      <c r="AZ16" s="257"/>
      <c r="BA16" s="257"/>
      <c r="BB16" s="258"/>
    </row>
    <row r="17" spans="18:62" s="72" customFormat="1" ht="60" customHeight="1">
      <c r="S17" s="73" t="s">
        <v>15</v>
      </c>
      <c r="T17" s="300" t="s">
        <v>44</v>
      </c>
      <c r="U17" s="301"/>
      <c r="V17" s="302" t="s">
        <v>45</v>
      </c>
      <c r="W17" s="303"/>
      <c r="X17" s="74" t="s">
        <v>46</v>
      </c>
      <c r="Y17" s="75" t="s">
        <v>67</v>
      </c>
      <c r="Z17" s="304" t="s">
        <v>47</v>
      </c>
      <c r="AA17" s="304"/>
      <c r="AB17" s="304"/>
      <c r="AC17" s="304"/>
      <c r="AD17" s="304"/>
      <c r="AE17" s="304"/>
      <c r="AF17" s="304"/>
      <c r="AG17" s="305" t="s">
        <v>48</v>
      </c>
      <c r="AH17" s="306"/>
      <c r="AI17" s="307" t="s">
        <v>49</v>
      </c>
      <c r="AJ17" s="307"/>
      <c r="AK17" s="92"/>
      <c r="AL17" s="308" t="s">
        <v>68</v>
      </c>
      <c r="AM17" s="309"/>
      <c r="AN17" s="310"/>
      <c r="AO17" s="288" t="s">
        <v>50</v>
      </c>
      <c r="AP17" s="289"/>
      <c r="AQ17" s="289"/>
      <c r="AR17" s="289"/>
      <c r="AS17" s="289"/>
      <c r="AT17" s="76" t="s">
        <v>51</v>
      </c>
      <c r="AU17" s="290" t="s">
        <v>33</v>
      </c>
      <c r="AV17" s="291"/>
      <c r="AW17" s="77" t="s">
        <v>34</v>
      </c>
      <c r="AX17" s="77" t="s">
        <v>66</v>
      </c>
      <c r="AY17" s="77" t="s">
        <v>35</v>
      </c>
      <c r="AZ17" s="77" t="s">
        <v>36</v>
      </c>
      <c r="BA17" s="292" t="s">
        <v>52</v>
      </c>
      <c r="BB17" s="293"/>
    </row>
    <row r="18" spans="18:62" ht="60.75" customHeight="1">
      <c r="S18" s="78">
        <v>1</v>
      </c>
      <c r="T18" s="294"/>
      <c r="U18" s="295"/>
      <c r="V18" s="280"/>
      <c r="W18" s="281"/>
      <c r="X18" s="79" t="str">
        <f>TEXT(MOD(V18-T18,1),"h:mm")</f>
        <v>0:00</v>
      </c>
      <c r="Y18" s="80"/>
      <c r="Z18" s="282"/>
      <c r="AA18" s="282"/>
      <c r="AB18" s="282"/>
      <c r="AC18" s="282"/>
      <c r="AD18" s="282"/>
      <c r="AE18" s="282"/>
      <c r="AF18" s="282"/>
      <c r="AG18" s="296">
        <f>SUM(AX7:AX9)</f>
        <v>0</v>
      </c>
      <c r="AH18" s="297"/>
      <c r="AI18" s="298">
        <f>SUM(AX10:AX12)</f>
        <v>0</v>
      </c>
      <c r="AJ18" s="298"/>
      <c r="AK18" s="93"/>
      <c r="AL18" s="298">
        <f>SUM(AX13:AX15)</f>
        <v>0</v>
      </c>
      <c r="AM18" s="298"/>
      <c r="AN18" s="298"/>
      <c r="AO18" s="299">
        <f>SUM(AG18:AN18)</f>
        <v>0</v>
      </c>
      <c r="AP18" s="299"/>
      <c r="AQ18" s="299"/>
      <c r="AR18" s="299"/>
      <c r="AS18" s="299"/>
      <c r="AT18" s="81" t="s">
        <v>1</v>
      </c>
      <c r="AU18" s="276">
        <f>SUM(AS7:AS9)</f>
        <v>0</v>
      </c>
      <c r="AV18" s="277"/>
      <c r="AW18" s="82">
        <f>SUM(AT7:AT9)</f>
        <v>0</v>
      </c>
      <c r="AX18" s="82">
        <f>SUM(AV7:AV9)</f>
        <v>0</v>
      </c>
      <c r="AY18" s="82">
        <f>SUM(AU7:AU9)</f>
        <v>0</v>
      </c>
      <c r="AZ18" s="82">
        <f>SUM(AW7:AW9)</f>
        <v>0</v>
      </c>
      <c r="BA18" s="276">
        <f>SUM(AU18:AZ18)</f>
        <v>0</v>
      </c>
      <c r="BB18" s="277"/>
    </row>
    <row r="19" spans="18:62" ht="60.75" customHeight="1">
      <c r="S19" s="78">
        <v>2</v>
      </c>
      <c r="T19" s="278"/>
      <c r="U19" s="279"/>
      <c r="V19" s="280"/>
      <c r="W19" s="281"/>
      <c r="X19" s="79" t="str">
        <f>TEXT(MOD(V19-T19,1),"h:mm")</f>
        <v>0:00</v>
      </c>
      <c r="Y19" s="80"/>
      <c r="Z19" s="282"/>
      <c r="AA19" s="282"/>
      <c r="AB19" s="282"/>
      <c r="AC19" s="282"/>
      <c r="AD19" s="282"/>
      <c r="AE19" s="282"/>
      <c r="AF19" s="282"/>
      <c r="AG19" s="283" t="s">
        <v>41</v>
      </c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5"/>
      <c r="AT19" s="83" t="s">
        <v>5</v>
      </c>
      <c r="AU19" s="286">
        <f>SUM(AS10:AS12)</f>
        <v>0</v>
      </c>
      <c r="AV19" s="287"/>
      <c r="AW19" s="84">
        <f>SUM(AT10:AT12)</f>
        <v>0</v>
      </c>
      <c r="AX19" s="84">
        <f>SUM(AV10:AV12)</f>
        <v>0</v>
      </c>
      <c r="AY19" s="84">
        <f>SUM(AU10:AU12)</f>
        <v>0</v>
      </c>
      <c r="AZ19" s="84">
        <f>SUM(AW10:AW12)</f>
        <v>0</v>
      </c>
      <c r="BA19" s="286">
        <f>SUM(AU19:AZ19)</f>
        <v>0</v>
      </c>
      <c r="BB19" s="287"/>
    </row>
    <row r="20" spans="18:62" ht="60.75" customHeight="1">
      <c r="S20" s="78">
        <v>3</v>
      </c>
      <c r="T20" s="278"/>
      <c r="U20" s="279"/>
      <c r="V20" s="280"/>
      <c r="W20" s="281"/>
      <c r="X20" s="79" t="str">
        <f>TEXT(MOD(V20-T20,1),"h:mm")</f>
        <v>0:00</v>
      </c>
      <c r="Y20" s="80"/>
      <c r="Z20" s="327"/>
      <c r="AA20" s="327"/>
      <c r="AB20" s="327"/>
      <c r="AC20" s="327"/>
      <c r="AD20" s="327"/>
      <c r="AE20" s="327"/>
      <c r="AF20" s="327"/>
      <c r="AG20" s="311">
        <f>SUM(BB7:BB9)</f>
        <v>0</v>
      </c>
      <c r="AH20" s="328"/>
      <c r="AI20" s="311">
        <f>SUM(BB10:BB12)</f>
        <v>0</v>
      </c>
      <c r="AJ20" s="328"/>
      <c r="AK20" s="94"/>
      <c r="AL20" s="311">
        <f>SUM(BB13:BB15)</f>
        <v>0</v>
      </c>
      <c r="AM20" s="329"/>
      <c r="AN20" s="328"/>
      <c r="AO20" s="311">
        <f>SUM(AG20:AN20)</f>
        <v>0</v>
      </c>
      <c r="AP20" s="312"/>
      <c r="AQ20" s="312"/>
      <c r="AR20" s="312"/>
      <c r="AS20" s="313"/>
      <c r="AT20" s="91" t="s">
        <v>65</v>
      </c>
      <c r="AU20" s="314">
        <f>SUM(AS13:AS15)</f>
        <v>0</v>
      </c>
      <c r="AV20" s="315"/>
      <c r="AW20" s="99">
        <f>SUM(AT13:AT15)</f>
        <v>0</v>
      </c>
      <c r="AX20" s="99">
        <f>SUM(AV13:AV15)</f>
        <v>0</v>
      </c>
      <c r="AY20" s="99">
        <f>SUM(AU13:AU15)</f>
        <v>0</v>
      </c>
      <c r="AZ20" s="99">
        <f>SUM(AW13:AW15)</f>
        <v>0</v>
      </c>
      <c r="BA20" s="316">
        <f>SUM(AU20:AZ20)</f>
        <v>0</v>
      </c>
      <c r="BB20" s="317"/>
    </row>
    <row r="21" spans="18:62" ht="60.75" customHeight="1">
      <c r="S21" s="78">
        <v>4</v>
      </c>
      <c r="T21" s="278"/>
      <c r="U21" s="279"/>
      <c r="V21" s="280"/>
      <c r="W21" s="281"/>
      <c r="X21" s="79" t="str">
        <f>TEXT(MOD(V21-T21,1),"h:mm")</f>
        <v>0:00</v>
      </c>
      <c r="Y21" s="80"/>
      <c r="Z21" s="318"/>
      <c r="AA21" s="318"/>
      <c r="AB21" s="318"/>
      <c r="AC21" s="318"/>
      <c r="AD21" s="318"/>
      <c r="AE21" s="318"/>
      <c r="AF21" s="318"/>
      <c r="AG21" s="319" t="s">
        <v>54</v>
      </c>
      <c r="AH21" s="320"/>
      <c r="AI21" s="320"/>
      <c r="AJ21" s="320"/>
      <c r="AK21" s="320"/>
      <c r="AL21" s="320"/>
      <c r="AM21" s="320"/>
      <c r="AN21" s="320"/>
      <c r="AO21" s="320"/>
      <c r="AP21" s="320"/>
      <c r="AQ21" s="320"/>
      <c r="AR21" s="320"/>
      <c r="AS21" s="321"/>
      <c r="AT21" s="322" t="s">
        <v>55</v>
      </c>
      <c r="AU21" s="323"/>
      <c r="AV21" s="324"/>
      <c r="AW21" s="325">
        <v>1680</v>
      </c>
      <c r="AX21" s="326"/>
      <c r="AY21" s="322" t="s">
        <v>56</v>
      </c>
      <c r="AZ21" s="324"/>
      <c r="BA21" s="330">
        <v>1628</v>
      </c>
      <c r="BB21" s="331"/>
    </row>
    <row r="22" spans="18:62" ht="54" customHeight="1">
      <c r="S22" s="78">
        <v>5</v>
      </c>
      <c r="T22" s="278"/>
      <c r="U22" s="279"/>
      <c r="V22" s="280"/>
      <c r="W22" s="281"/>
      <c r="X22" s="79" t="str">
        <f>TEXT(MOD(V22-T22,1),"h:mm")</f>
        <v>0:00</v>
      </c>
      <c r="Y22" s="80"/>
      <c r="Z22" s="318"/>
      <c r="AA22" s="318"/>
      <c r="AB22" s="318"/>
      <c r="AC22" s="318"/>
      <c r="AD22" s="318"/>
      <c r="AE22" s="318"/>
      <c r="AF22" s="318"/>
      <c r="AG22" s="357">
        <f>SUM(AY7:BA9)</f>
        <v>0</v>
      </c>
      <c r="AH22" s="357"/>
      <c r="AI22" s="298">
        <f>SUM(AY10:BA12)</f>
        <v>0</v>
      </c>
      <c r="AJ22" s="298"/>
      <c r="AK22" s="95"/>
      <c r="AL22" s="358">
        <f>SUM(AY13:BA15)</f>
        <v>0</v>
      </c>
      <c r="AM22" s="358"/>
      <c r="AN22" s="359"/>
      <c r="AO22" s="360">
        <f>SUM(AG22:AN22)</f>
        <v>0</v>
      </c>
      <c r="AP22" s="361"/>
      <c r="AQ22" s="361"/>
      <c r="AR22" s="361"/>
      <c r="AS22" s="362"/>
      <c r="AT22" s="98" t="s">
        <v>69</v>
      </c>
      <c r="AU22" s="363" t="s">
        <v>48</v>
      </c>
      <c r="AV22" s="364"/>
      <c r="AW22" s="365" t="s">
        <v>49</v>
      </c>
      <c r="AX22" s="366"/>
      <c r="AY22" s="332" t="s">
        <v>68</v>
      </c>
      <c r="AZ22" s="333"/>
      <c r="BA22" s="334" t="s">
        <v>57</v>
      </c>
      <c r="BB22" s="335"/>
    </row>
    <row r="23" spans="18:62" ht="59.25" customHeight="1">
      <c r="S23" s="336" t="s">
        <v>61</v>
      </c>
      <c r="T23" s="337"/>
      <c r="U23" s="337"/>
      <c r="V23" s="337"/>
      <c r="W23" s="338"/>
      <c r="X23" s="85">
        <f>SUM(X18+X19+X20+X21+X22)</f>
        <v>0</v>
      </c>
      <c r="Y23" s="129" t="s">
        <v>62</v>
      </c>
      <c r="Z23" s="86"/>
      <c r="AA23" s="87"/>
      <c r="AB23" s="87"/>
      <c r="AC23" s="339" t="s">
        <v>63</v>
      </c>
      <c r="AD23" s="339"/>
      <c r="AE23" s="340"/>
      <c r="AF23" s="341"/>
      <c r="AG23" s="342" t="s">
        <v>22</v>
      </c>
      <c r="AH23" s="343"/>
      <c r="AI23" s="344"/>
      <c r="AJ23" s="345" t="s">
        <v>48</v>
      </c>
      <c r="AK23" s="346"/>
      <c r="AL23" s="346"/>
      <c r="AM23" s="347"/>
      <c r="AN23" s="348" t="s">
        <v>49</v>
      </c>
      <c r="AO23" s="348"/>
      <c r="AP23" s="348"/>
      <c r="AQ23" s="349" t="s">
        <v>68</v>
      </c>
      <c r="AR23" s="350"/>
      <c r="AS23" s="351"/>
      <c r="AT23" s="96" t="s">
        <v>60</v>
      </c>
      <c r="AU23" s="352">
        <f>SUM(AQ7:AQ9)</f>
        <v>0</v>
      </c>
      <c r="AV23" s="353"/>
      <c r="AW23" s="352">
        <f>SUM(AQ10:AQ12)</f>
        <v>0</v>
      </c>
      <c r="AX23" s="354"/>
      <c r="AY23" s="352">
        <f>SUM(AQ13:AQ15)</f>
        <v>0</v>
      </c>
      <c r="AZ23" s="353"/>
      <c r="BA23" s="355">
        <f>SUM(AU23:AZ23)</f>
        <v>0</v>
      </c>
      <c r="BB23" s="356"/>
    </row>
    <row r="24" spans="18:62" ht="57" customHeight="1">
      <c r="S24" s="367"/>
      <c r="T24" s="368"/>
      <c r="U24" s="368"/>
      <c r="V24" s="368"/>
      <c r="W24" s="369"/>
      <c r="X24" s="373" t="s">
        <v>73</v>
      </c>
      <c r="Y24" s="104" t="s">
        <v>70</v>
      </c>
      <c r="Z24" s="105" t="s">
        <v>71</v>
      </c>
      <c r="AA24" s="103"/>
      <c r="AB24" s="103"/>
      <c r="AC24" s="375" t="s">
        <v>72</v>
      </c>
      <c r="AD24" s="376"/>
      <c r="AE24" s="377" t="s">
        <v>57</v>
      </c>
      <c r="AF24" s="378"/>
      <c r="AG24" s="379" t="s">
        <v>58</v>
      </c>
      <c r="AH24" s="380"/>
      <c r="AI24" s="381"/>
      <c r="AJ24" s="382">
        <f>AVERAGE(Z7:Z8)</f>
        <v>0</v>
      </c>
      <c r="AK24" s="383"/>
      <c r="AL24" s="383"/>
      <c r="AM24" s="383"/>
      <c r="AN24" s="382">
        <f>AVERAGE(Z10)</f>
        <v>0</v>
      </c>
      <c r="AO24" s="383"/>
      <c r="AP24" s="383"/>
      <c r="AQ24" s="382">
        <f>AVERAGE(Z13:Z15)</f>
        <v>0</v>
      </c>
      <c r="AR24" s="383"/>
      <c r="AS24" s="383"/>
      <c r="AT24" s="97" t="s">
        <v>64</v>
      </c>
      <c r="AU24" s="387">
        <f>SUM(AL7:AP9)</f>
        <v>0</v>
      </c>
      <c r="AV24" s="388"/>
      <c r="AW24" s="387">
        <f>SUM(AL10:AP12)</f>
        <v>0</v>
      </c>
      <c r="AX24" s="388"/>
      <c r="AY24" s="387">
        <f>SUM(AL13:AP15)</f>
        <v>0</v>
      </c>
      <c r="AZ24" s="388"/>
      <c r="BA24" s="389">
        <f>SUM(AU24:AZ24)</f>
        <v>0</v>
      </c>
      <c r="BB24" s="390"/>
    </row>
    <row r="25" spans="18:62" ht="52.5" customHeight="1">
      <c r="S25" s="370"/>
      <c r="T25" s="371"/>
      <c r="U25" s="371"/>
      <c r="V25" s="371"/>
      <c r="W25" s="372"/>
      <c r="X25" s="374"/>
      <c r="Y25" s="106">
        <f>SUM(AD7:AD9)</f>
        <v>0</v>
      </c>
      <c r="Z25" s="106">
        <f>SUM(AD10:AD12)</f>
        <v>0</v>
      </c>
      <c r="AA25" s="107"/>
      <c r="AB25" s="107"/>
      <c r="AC25" s="391">
        <f>SUM(AD13:AD15)</f>
        <v>0</v>
      </c>
      <c r="AD25" s="392"/>
      <c r="AE25" s="393">
        <f>SUM(Y25:AD25)</f>
        <v>0</v>
      </c>
      <c r="AF25" s="394"/>
      <c r="AG25" s="379" t="s">
        <v>59</v>
      </c>
      <c r="AH25" s="380"/>
      <c r="AI25" s="381"/>
      <c r="AJ25" s="382">
        <f>SUM(Z7:Z9)</f>
        <v>0</v>
      </c>
      <c r="AK25" s="383"/>
      <c r="AL25" s="383"/>
      <c r="AM25" s="383"/>
      <c r="AN25" s="382">
        <f>SUM(Z10:Z12)</f>
        <v>0</v>
      </c>
      <c r="AO25" s="383"/>
      <c r="AP25" s="383"/>
      <c r="AQ25" s="382">
        <f>SUM(Z13:Z15)</f>
        <v>0</v>
      </c>
      <c r="AR25" s="383"/>
      <c r="AS25" s="383"/>
      <c r="AT25" s="384"/>
      <c r="AU25" s="385"/>
      <c r="AV25" s="385"/>
      <c r="AW25" s="385"/>
      <c r="AX25" s="385"/>
      <c r="AY25" s="385"/>
      <c r="AZ25" s="385"/>
      <c r="BA25" s="385"/>
      <c r="BB25" s="386"/>
    </row>
    <row r="26" spans="18:62" ht="60.75" customHeight="1"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8:62" ht="30" customHeight="1"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8:62" ht="30" customHeight="1"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T28" s="4"/>
      <c r="AU28" s="4"/>
      <c r="AV28" s="4"/>
      <c r="AW28" s="4"/>
      <c r="AX28" s="4"/>
      <c r="AY28" s="4"/>
      <c r="AZ28" s="4"/>
      <c r="BA28" s="4"/>
    </row>
    <row r="29" spans="18:62" ht="30" customHeight="1"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T29" s="4"/>
      <c r="AU29" s="4"/>
      <c r="AV29" s="4"/>
      <c r="AW29" s="4"/>
      <c r="AX29" s="4"/>
      <c r="AY29" s="4"/>
      <c r="AZ29" s="4"/>
      <c r="BA29" s="4"/>
    </row>
    <row r="30" spans="18:62" ht="30" customHeight="1">
      <c r="R30" s="3"/>
      <c r="S30" s="3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T30" s="4"/>
      <c r="AU30" s="4"/>
      <c r="AV30" s="4"/>
      <c r="AW30" s="4"/>
      <c r="AX30" s="4"/>
      <c r="AY30" s="4"/>
      <c r="AZ30" s="4"/>
      <c r="BA30" s="4"/>
    </row>
    <row r="31" spans="18:62" ht="30" customHeight="1">
      <c r="R31" s="3"/>
      <c r="S31" s="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T31" s="4"/>
      <c r="AU31" s="4"/>
      <c r="AV31" s="4"/>
      <c r="AW31" s="4"/>
      <c r="AX31" s="4"/>
      <c r="AY31" s="4"/>
      <c r="AZ31" s="4"/>
      <c r="BA31" s="4"/>
    </row>
    <row r="32" spans="18:62" ht="15" customHeight="1">
      <c r="S32" s="3"/>
      <c r="BJ32" s="4">
        <v>8</v>
      </c>
    </row>
  </sheetData>
  <mergeCells count="145">
    <mergeCell ref="S24:W25"/>
    <mergeCell ref="X24:X25"/>
    <mergeCell ref="AC24:AD24"/>
    <mergeCell ref="AE24:AF24"/>
    <mergeCell ref="AG24:AI24"/>
    <mergeCell ref="AJ24:AM24"/>
    <mergeCell ref="AN24:AP24"/>
    <mergeCell ref="AQ25:AS25"/>
    <mergeCell ref="AT25:BB25"/>
    <mergeCell ref="AQ24:AS24"/>
    <mergeCell ref="AU24:AV24"/>
    <mergeCell ref="AW24:AX24"/>
    <mergeCell ref="AY24:AZ24"/>
    <mergeCell ref="BA24:BB24"/>
    <mergeCell ref="AC25:AD25"/>
    <mergeCell ref="AE25:AF25"/>
    <mergeCell ref="AG25:AI25"/>
    <mergeCell ref="AJ25:AM25"/>
    <mergeCell ref="AN25:AP25"/>
    <mergeCell ref="AY22:AZ22"/>
    <mergeCell ref="BA22:BB22"/>
    <mergeCell ref="S23:W23"/>
    <mergeCell ref="AC23:AD23"/>
    <mergeCell ref="AE23:AF23"/>
    <mergeCell ref="AG23:AI23"/>
    <mergeCell ref="AJ23:AM23"/>
    <mergeCell ref="AN23:AP23"/>
    <mergeCell ref="AQ23:AS23"/>
    <mergeCell ref="AU23:AV23"/>
    <mergeCell ref="AW23:AX23"/>
    <mergeCell ref="AY23:AZ23"/>
    <mergeCell ref="BA23:BB23"/>
    <mergeCell ref="T22:U22"/>
    <mergeCell ref="V22:W22"/>
    <mergeCell ref="Z22:AF22"/>
    <mergeCell ref="AG22:AH22"/>
    <mergeCell ref="AI22:AJ22"/>
    <mergeCell ref="AL22:AN22"/>
    <mergeCell ref="AO22:AS22"/>
    <mergeCell ref="AU22:AV22"/>
    <mergeCell ref="AW22:AX22"/>
    <mergeCell ref="AO20:AS20"/>
    <mergeCell ref="AU20:AV20"/>
    <mergeCell ref="BA20:BB20"/>
    <mergeCell ref="T21:U21"/>
    <mergeCell ref="V21:W21"/>
    <mergeCell ref="Z21:AF21"/>
    <mergeCell ref="AG21:AS21"/>
    <mergeCell ref="AT21:AV21"/>
    <mergeCell ref="AW21:AX21"/>
    <mergeCell ref="AY21:AZ21"/>
    <mergeCell ref="T20:U20"/>
    <mergeCell ref="V20:W20"/>
    <mergeCell ref="Z20:AF20"/>
    <mergeCell ref="AG20:AH20"/>
    <mergeCell ref="AI20:AJ20"/>
    <mergeCell ref="AL20:AN20"/>
    <mergeCell ref="BA21:BB21"/>
    <mergeCell ref="AU18:AV18"/>
    <mergeCell ref="BA18:BB18"/>
    <mergeCell ref="T19:U19"/>
    <mergeCell ref="V19:W19"/>
    <mergeCell ref="Z19:AF19"/>
    <mergeCell ref="AG19:AS19"/>
    <mergeCell ref="AU19:AV19"/>
    <mergeCell ref="BA19:BB19"/>
    <mergeCell ref="AO17:AS17"/>
    <mergeCell ref="AU17:AV17"/>
    <mergeCell ref="BA17:BB17"/>
    <mergeCell ref="T18:U18"/>
    <mergeCell ref="V18:W18"/>
    <mergeCell ref="Z18:AF18"/>
    <mergeCell ref="AG18:AH18"/>
    <mergeCell ref="AI18:AJ18"/>
    <mergeCell ref="AL18:AN18"/>
    <mergeCell ref="AO18:AS18"/>
    <mergeCell ref="T17:U17"/>
    <mergeCell ref="V17:W17"/>
    <mergeCell ref="Z17:AF17"/>
    <mergeCell ref="AG17:AH17"/>
    <mergeCell ref="AI17:AJ17"/>
    <mergeCell ref="AL17:AN17"/>
    <mergeCell ref="S16:AF16"/>
    <mergeCell ref="AG16:AS16"/>
    <mergeCell ref="AT16:BB16"/>
    <mergeCell ref="AU5:AU6"/>
    <mergeCell ref="AV5:AV6"/>
    <mergeCell ref="AW5:AW6"/>
    <mergeCell ref="AX5:AX6"/>
    <mergeCell ref="AY5:AY6"/>
    <mergeCell ref="AZ5:AZ6"/>
    <mergeCell ref="AH5:AH6"/>
    <mergeCell ref="AI5:AI6"/>
    <mergeCell ref="AJ5:AJ6"/>
    <mergeCell ref="AK5:AR5"/>
    <mergeCell ref="AS5:AS6"/>
    <mergeCell ref="AT5:AT6"/>
    <mergeCell ref="AB5:AB6"/>
    <mergeCell ref="AC5:AC6"/>
    <mergeCell ref="AD5:AD6"/>
    <mergeCell ref="AE5:AE6"/>
    <mergeCell ref="S4:Z4"/>
    <mergeCell ref="AA4:AB4"/>
    <mergeCell ref="AC4:AD4"/>
    <mergeCell ref="AE4:AJ4"/>
    <mergeCell ref="AL4:AQ4"/>
    <mergeCell ref="AS4:AW4"/>
    <mergeCell ref="T7:T9"/>
    <mergeCell ref="T10:T12"/>
    <mergeCell ref="T13:T15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Q1:AT1"/>
    <mergeCell ref="AU1:AW1"/>
    <mergeCell ref="AF5:AF6"/>
    <mergeCell ref="AG5:AG6"/>
    <mergeCell ref="AX1:BB3"/>
    <mergeCell ref="AC2:AE2"/>
    <mergeCell ref="AF2:AH2"/>
    <mergeCell ref="AI2:AL2"/>
    <mergeCell ref="AM2:AP2"/>
    <mergeCell ref="AQ2:AT2"/>
    <mergeCell ref="AU2:AW2"/>
    <mergeCell ref="AC3:AE3"/>
    <mergeCell ref="AQ3:AT3"/>
    <mergeCell ref="AU3:AW3"/>
    <mergeCell ref="AX4:BB4"/>
    <mergeCell ref="BA5:BA6"/>
    <mergeCell ref="BB5:BB6"/>
    <mergeCell ref="S1:W3"/>
    <mergeCell ref="X1:Y3"/>
    <mergeCell ref="AC1:AE1"/>
    <mergeCell ref="AF1:AH1"/>
    <mergeCell ref="AI1:AL1"/>
    <mergeCell ref="AM1:AP1"/>
    <mergeCell ref="AF3:AH3"/>
    <mergeCell ref="AI3:AL3"/>
    <mergeCell ref="AM3:AP3"/>
  </mergeCells>
  <conditionalFormatting sqref="Z7:Z15">
    <cfRule type="cellIs" dxfId="181" priority="3" operator="greaterThan">
      <formula>0.167361111111111</formula>
    </cfRule>
    <cfRule type="cellIs" dxfId="180" priority="4" operator="greaterThan">
      <formula>0.15625</formula>
    </cfRule>
  </conditionalFormatting>
  <conditionalFormatting sqref="AA7:AJ15">
    <cfRule type="cellIs" dxfId="179" priority="11" operator="between">
      <formula>1700</formula>
      <formula>1710</formula>
    </cfRule>
    <cfRule type="cellIs" dxfId="178" priority="12" operator="between">
      <formula>1691</formula>
      <formula>1700</formula>
    </cfRule>
  </conditionalFormatting>
  <conditionalFormatting sqref="AS7:AS15">
    <cfRule type="expression" dxfId="177" priority="13">
      <formula>IF(($AS7/$AX7)*1000&gt;$AY$1,1,0)</formula>
    </cfRule>
  </conditionalFormatting>
  <conditionalFormatting sqref="AT7:AW15">
    <cfRule type="cellIs" dxfId="176" priority="5" operator="greaterThan">
      <formula>10</formula>
    </cfRule>
  </conditionalFormatting>
  <conditionalFormatting sqref="AX7:AX15">
    <cfRule type="cellIs" dxfId="175" priority="2" operator="between">
      <formula>16000</formula>
      <formula>17200</formula>
    </cfRule>
    <cfRule type="cellIs" dxfId="174" priority="6" operator="lessThan">
      <formula>15800</formula>
    </cfRule>
    <cfRule type="cellIs" dxfId="173" priority="7" operator="greaterThan">
      <formula>18000</formula>
    </cfRule>
  </conditionalFormatting>
  <conditionalFormatting sqref="AZ7:BA15">
    <cfRule type="cellIs" dxfId="172" priority="10" operator="greaterThan">
      <formula>0</formula>
    </cfRule>
  </conditionalFormatting>
  <conditionalFormatting sqref="BB7:BB15">
    <cfRule type="cellIs" dxfId="171" priority="1" operator="between">
      <formula>16000</formula>
      <formula>17200</formula>
    </cfRule>
    <cfRule type="cellIs" dxfId="170" priority="8" operator="greaterThan">
      <formula>18000</formula>
    </cfRule>
    <cfRule type="cellIs" dxfId="169" priority="9" operator="lessThan">
      <formula>15800</formula>
    </cfRule>
  </conditionalFormatting>
  <printOptions horizontalCentered="1" verticalCentered="1"/>
  <pageMargins left="0" right="0" top="0" bottom="0.21" header="0" footer="0"/>
  <pageSetup paperSize="9" scale="42" orientation="landscape" cellComments="asDisplayed" r:id="rId1"/>
  <headerFooter differentFirst="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D4E71-0420-4E81-8502-2711A286930F}">
  <sheetPr>
    <tabColor theme="5"/>
    <pageSetUpPr fitToPage="1"/>
  </sheetPr>
  <dimension ref="R1:BJ32"/>
  <sheetViews>
    <sheetView showGridLines="0" rightToLeft="1" topLeftCell="P1" zoomScale="55" zoomScaleNormal="55" zoomScalePageLayoutView="40" workbookViewId="0">
      <selection activeCell="AH14" sqref="AH14"/>
    </sheetView>
  </sheetViews>
  <sheetFormatPr defaultColWidth="9.140625" defaultRowHeight="15"/>
  <cols>
    <col min="1" max="18" width="9.140625" style="4"/>
    <col min="19" max="19" width="5.7109375" style="4" customWidth="1"/>
    <col min="20" max="20" width="9.5703125" style="3" customWidth="1"/>
    <col min="21" max="21" width="10.7109375" style="3" customWidth="1"/>
    <col min="22" max="22" width="9.42578125" style="88" customWidth="1"/>
    <col min="23" max="23" width="8.85546875" style="88" customWidth="1"/>
    <col min="24" max="24" width="14.42578125" style="3" customWidth="1"/>
    <col min="25" max="25" width="14.7109375" style="3" customWidth="1"/>
    <col min="26" max="26" width="15.140625" style="88" customWidth="1"/>
    <col min="27" max="27" width="9.5703125" style="3" hidden="1" customWidth="1"/>
    <col min="28" max="28" width="10" style="3" hidden="1" customWidth="1"/>
    <col min="29" max="29" width="8.140625" style="3" customWidth="1"/>
    <col min="30" max="30" width="8.5703125" style="3" customWidth="1"/>
    <col min="31" max="31" width="12.42578125" style="3" customWidth="1"/>
    <col min="32" max="32" width="10.5703125" style="3" customWidth="1"/>
    <col min="33" max="33" width="9.5703125" style="3" customWidth="1"/>
    <col min="34" max="34" width="11.42578125" style="3" customWidth="1"/>
    <col min="35" max="35" width="9.42578125" style="3" customWidth="1"/>
    <col min="36" max="36" width="9.28515625" style="3" customWidth="1"/>
    <col min="37" max="37" width="6.7109375" style="3" hidden="1" customWidth="1"/>
    <col min="38" max="42" width="6.7109375" style="3" customWidth="1"/>
    <col min="43" max="43" width="8.140625" style="3" customWidth="1"/>
    <col min="44" max="44" width="6.7109375" style="3" hidden="1" customWidth="1"/>
    <col min="45" max="45" width="10.42578125" style="3" customWidth="1"/>
    <col min="46" max="46" width="8.7109375" style="3" customWidth="1"/>
    <col min="47" max="47" width="8.5703125" style="3" customWidth="1"/>
    <col min="48" max="48" width="8.7109375" style="3" customWidth="1"/>
    <col min="49" max="49" width="9.5703125" style="3" customWidth="1"/>
    <col min="50" max="50" width="12.42578125" style="88" customWidth="1"/>
    <col min="51" max="51" width="11.85546875" style="3" customWidth="1"/>
    <col min="52" max="52" width="11.5703125" style="3" customWidth="1"/>
    <col min="53" max="53" width="13.42578125" style="3" customWidth="1"/>
    <col min="54" max="54" width="13.5703125" style="4" customWidth="1"/>
    <col min="55" max="57" width="9.140625" style="4"/>
    <col min="58" max="58" width="25" style="4" customWidth="1"/>
    <col min="59" max="61" width="9.140625" style="4"/>
    <col min="62" max="62" width="23.5703125" style="4" customWidth="1"/>
    <col min="63" max="16384" width="9.140625" style="4"/>
  </cols>
  <sheetData>
    <row r="1" spans="19:54" ht="36.75" customHeight="1" thickBot="1">
      <c r="S1" s="180"/>
      <c r="T1" s="181"/>
      <c r="U1" s="181"/>
      <c r="V1" s="181"/>
      <c r="W1" s="181"/>
      <c r="X1" s="182" t="s">
        <v>0</v>
      </c>
      <c r="Y1" s="183"/>
      <c r="Z1" s="1" t="s">
        <v>1</v>
      </c>
      <c r="AA1" s="2"/>
      <c r="AC1" s="188" t="s">
        <v>2</v>
      </c>
      <c r="AD1" s="189"/>
      <c r="AE1" s="189"/>
      <c r="AF1" s="190" t="s">
        <v>75</v>
      </c>
      <c r="AG1" s="191"/>
      <c r="AH1" s="192"/>
      <c r="AI1" s="193" t="s">
        <v>3</v>
      </c>
      <c r="AJ1" s="194"/>
      <c r="AK1" s="194"/>
      <c r="AL1" s="195"/>
      <c r="AM1" s="196" t="s">
        <v>76</v>
      </c>
      <c r="AN1" s="197"/>
      <c r="AO1" s="197"/>
      <c r="AP1" s="198"/>
      <c r="AQ1" s="203" t="s">
        <v>4</v>
      </c>
      <c r="AR1" s="204"/>
      <c r="AS1" s="204"/>
      <c r="AT1" s="205"/>
      <c r="AU1" s="206" t="s">
        <v>74</v>
      </c>
      <c r="AV1" s="207"/>
      <c r="AW1" s="208"/>
      <c r="AX1" s="211" t="s">
        <v>105</v>
      </c>
      <c r="AY1" s="211"/>
      <c r="AZ1" s="211"/>
      <c r="BA1" s="211"/>
      <c r="BB1" s="211"/>
    </row>
    <row r="2" spans="19:54" ht="36.75" customHeight="1" thickBot="1">
      <c r="S2" s="180"/>
      <c r="T2" s="181"/>
      <c r="U2" s="181"/>
      <c r="V2" s="181"/>
      <c r="W2" s="181"/>
      <c r="X2" s="184"/>
      <c r="Y2" s="185"/>
      <c r="Z2" s="5" t="s">
        <v>5</v>
      </c>
      <c r="AA2" s="89"/>
      <c r="AC2" s="188" t="s">
        <v>2</v>
      </c>
      <c r="AD2" s="189"/>
      <c r="AE2" s="212"/>
      <c r="AF2" s="190" t="s">
        <v>78</v>
      </c>
      <c r="AG2" s="191"/>
      <c r="AH2" s="192"/>
      <c r="AI2" s="193" t="s">
        <v>3</v>
      </c>
      <c r="AJ2" s="194"/>
      <c r="AK2" s="194"/>
      <c r="AL2" s="195"/>
      <c r="AM2" s="202" t="s">
        <v>79</v>
      </c>
      <c r="AN2" s="202"/>
      <c r="AO2" s="202"/>
      <c r="AP2" s="202"/>
      <c r="AQ2" s="203" t="s">
        <v>4</v>
      </c>
      <c r="AR2" s="204"/>
      <c r="AS2" s="204"/>
      <c r="AT2" s="205"/>
      <c r="AU2" s="213" t="s">
        <v>77</v>
      </c>
      <c r="AV2" s="213"/>
      <c r="AW2" s="213"/>
      <c r="AX2" s="211"/>
      <c r="AY2" s="211"/>
      <c r="AZ2" s="211"/>
      <c r="BA2" s="211"/>
      <c r="BB2" s="211"/>
    </row>
    <row r="3" spans="19:54" ht="38.25" customHeight="1" thickBot="1">
      <c r="S3" s="181"/>
      <c r="T3" s="181"/>
      <c r="U3" s="181"/>
      <c r="V3" s="181"/>
      <c r="W3" s="181"/>
      <c r="X3" s="186"/>
      <c r="Y3" s="187"/>
      <c r="Z3" s="90" t="s">
        <v>65</v>
      </c>
      <c r="AA3" s="6"/>
      <c r="AC3" s="188" t="s">
        <v>6</v>
      </c>
      <c r="AD3" s="189"/>
      <c r="AE3" s="212"/>
      <c r="AF3" s="190" t="s">
        <v>81</v>
      </c>
      <c r="AG3" s="191"/>
      <c r="AH3" s="192"/>
      <c r="AI3" s="199" t="s">
        <v>7</v>
      </c>
      <c r="AJ3" s="200"/>
      <c r="AK3" s="200"/>
      <c r="AL3" s="201"/>
      <c r="AM3" s="202" t="s">
        <v>82</v>
      </c>
      <c r="AN3" s="202"/>
      <c r="AO3" s="202"/>
      <c r="AP3" s="202"/>
      <c r="AQ3" s="203" t="s">
        <v>4</v>
      </c>
      <c r="AR3" s="204"/>
      <c r="AS3" s="204"/>
      <c r="AT3" s="214"/>
      <c r="AU3" s="215" t="s">
        <v>80</v>
      </c>
      <c r="AV3" s="216"/>
      <c r="AW3" s="217"/>
      <c r="AX3" s="211"/>
      <c r="AY3" s="211"/>
      <c r="AZ3" s="211"/>
      <c r="BA3" s="211"/>
      <c r="BB3" s="211"/>
    </row>
    <row r="4" spans="19:54" ht="34.5" customHeight="1" thickBot="1">
      <c r="S4" s="225" t="s">
        <v>8</v>
      </c>
      <c r="T4" s="226"/>
      <c r="U4" s="226"/>
      <c r="V4" s="226"/>
      <c r="W4" s="226"/>
      <c r="X4" s="227"/>
      <c r="Y4" s="227"/>
      <c r="Z4" s="228"/>
      <c r="AA4" s="229" t="s">
        <v>9</v>
      </c>
      <c r="AB4" s="230"/>
      <c r="AC4" s="231" t="s">
        <v>10</v>
      </c>
      <c r="AD4" s="232"/>
      <c r="AE4" s="233" t="s">
        <v>11</v>
      </c>
      <c r="AF4" s="234"/>
      <c r="AG4" s="234"/>
      <c r="AH4" s="234"/>
      <c r="AI4" s="234"/>
      <c r="AJ4" s="235"/>
      <c r="AK4" s="7"/>
      <c r="AL4" s="236" t="s">
        <v>12</v>
      </c>
      <c r="AM4" s="237"/>
      <c r="AN4" s="237"/>
      <c r="AO4" s="237"/>
      <c r="AP4" s="237"/>
      <c r="AQ4" s="237"/>
      <c r="AR4" s="8"/>
      <c r="AS4" s="238" t="s">
        <v>13</v>
      </c>
      <c r="AT4" s="239"/>
      <c r="AU4" s="239"/>
      <c r="AV4" s="239"/>
      <c r="AW4" s="240"/>
      <c r="AX4" s="218" t="s">
        <v>14</v>
      </c>
      <c r="AY4" s="219"/>
      <c r="AZ4" s="219"/>
      <c r="BA4" s="219"/>
      <c r="BB4" s="220"/>
    </row>
    <row r="5" spans="19:54" ht="52.5" customHeight="1">
      <c r="S5" s="246" t="s">
        <v>15</v>
      </c>
      <c r="T5" s="248" t="s">
        <v>16</v>
      </c>
      <c r="U5" s="248" t="s">
        <v>17</v>
      </c>
      <c r="V5" s="248" t="s">
        <v>18</v>
      </c>
      <c r="W5" s="248" t="s">
        <v>19</v>
      </c>
      <c r="X5" s="248" t="s">
        <v>20</v>
      </c>
      <c r="Y5" s="248" t="s">
        <v>21</v>
      </c>
      <c r="Z5" s="250" t="s">
        <v>22</v>
      </c>
      <c r="AA5" s="252" t="s">
        <v>23</v>
      </c>
      <c r="AB5" s="270" t="s">
        <v>9</v>
      </c>
      <c r="AC5" s="272" t="s">
        <v>24</v>
      </c>
      <c r="AD5" s="272" t="s">
        <v>25</v>
      </c>
      <c r="AE5" s="274" t="s">
        <v>26</v>
      </c>
      <c r="AF5" s="209" t="s">
        <v>27</v>
      </c>
      <c r="AG5" s="209" t="s">
        <v>28</v>
      </c>
      <c r="AH5" s="263" t="s">
        <v>29</v>
      </c>
      <c r="AI5" s="263" t="s">
        <v>30</v>
      </c>
      <c r="AJ5" s="265" t="s">
        <v>31</v>
      </c>
      <c r="AK5" s="267" t="s">
        <v>32</v>
      </c>
      <c r="AL5" s="268"/>
      <c r="AM5" s="268"/>
      <c r="AN5" s="268"/>
      <c r="AO5" s="268"/>
      <c r="AP5" s="268"/>
      <c r="AQ5" s="268"/>
      <c r="AR5" s="269"/>
      <c r="AS5" s="259" t="s">
        <v>33</v>
      </c>
      <c r="AT5" s="259" t="s">
        <v>34</v>
      </c>
      <c r="AU5" s="259" t="s">
        <v>35</v>
      </c>
      <c r="AV5" s="259" t="s">
        <v>66</v>
      </c>
      <c r="AW5" s="261" t="s">
        <v>36</v>
      </c>
      <c r="AX5" s="252" t="s">
        <v>37</v>
      </c>
      <c r="AY5" s="221" t="s">
        <v>38</v>
      </c>
      <c r="AZ5" s="221" t="s">
        <v>39</v>
      </c>
      <c r="BA5" s="221" t="s">
        <v>40</v>
      </c>
      <c r="BB5" s="223" t="s">
        <v>41</v>
      </c>
    </row>
    <row r="6" spans="19:54" ht="27.95" customHeight="1" thickBot="1">
      <c r="S6" s="247"/>
      <c r="T6" s="249"/>
      <c r="U6" s="249"/>
      <c r="V6" s="249"/>
      <c r="W6" s="249"/>
      <c r="X6" s="249"/>
      <c r="Y6" s="249"/>
      <c r="Z6" s="251"/>
      <c r="AA6" s="253"/>
      <c r="AB6" s="271"/>
      <c r="AC6" s="273"/>
      <c r="AD6" s="273"/>
      <c r="AE6" s="275"/>
      <c r="AF6" s="210"/>
      <c r="AG6" s="210"/>
      <c r="AH6" s="264"/>
      <c r="AI6" s="264"/>
      <c r="AJ6" s="266"/>
      <c r="AK6" s="9">
        <v>1</v>
      </c>
      <c r="AL6" s="10">
        <v>2</v>
      </c>
      <c r="AM6" s="10">
        <v>3</v>
      </c>
      <c r="AN6" s="10">
        <v>4</v>
      </c>
      <c r="AO6" s="10">
        <v>5</v>
      </c>
      <c r="AP6" s="10">
        <v>6</v>
      </c>
      <c r="AQ6" s="10">
        <v>12</v>
      </c>
      <c r="AR6" s="11"/>
      <c r="AS6" s="260"/>
      <c r="AT6" s="260"/>
      <c r="AU6" s="260"/>
      <c r="AV6" s="260"/>
      <c r="AW6" s="262"/>
      <c r="AX6" s="253"/>
      <c r="AY6" s="222"/>
      <c r="AZ6" s="222"/>
      <c r="BA6" s="222"/>
      <c r="BB6" s="224"/>
    </row>
    <row r="7" spans="19:54" s="34" customFormat="1" ht="48" customHeight="1" thickBot="1">
      <c r="S7" s="12">
        <v>1</v>
      </c>
      <c r="T7" s="241" t="s">
        <v>1</v>
      </c>
      <c r="U7" s="13"/>
      <c r="V7" s="14"/>
      <c r="W7" s="15"/>
      <c r="X7" s="16"/>
      <c r="Y7" s="17"/>
      <c r="Z7" s="18">
        <f t="shared" ref="Z7:Z15" si="0">IF(Y7&lt;X7,1+Y7-X7,Y7-X7)</f>
        <v>0</v>
      </c>
      <c r="AA7" s="19"/>
      <c r="AB7" s="20"/>
      <c r="AC7" s="21"/>
      <c r="AD7" s="100"/>
      <c r="AE7" s="22"/>
      <c r="AF7" s="23"/>
      <c r="AG7" s="23"/>
      <c r="AH7" s="23"/>
      <c r="AI7" s="23"/>
      <c r="AJ7" s="24"/>
      <c r="AK7" s="25"/>
      <c r="AL7" s="26"/>
      <c r="AM7" s="26"/>
      <c r="AN7" s="26"/>
      <c r="AO7" s="26"/>
      <c r="AP7" s="26"/>
      <c r="AQ7" s="26"/>
      <c r="AR7" s="27"/>
      <c r="AS7" s="28"/>
      <c r="AT7" s="13"/>
      <c r="AU7" s="13"/>
      <c r="AV7" s="13"/>
      <c r="AW7" s="29"/>
      <c r="AX7" s="30">
        <f t="shared" ref="AX7:AX15" si="1">SUM(AY7:BB7)</f>
        <v>0</v>
      </c>
      <c r="AY7" s="31">
        <v>0</v>
      </c>
      <c r="AZ7" s="32">
        <v>0</v>
      </c>
      <c r="BA7" s="31">
        <v>0</v>
      </c>
      <c r="BB7" s="33">
        <f t="shared" ref="BB7:BB15" si="2">SUM(($AQ$6*AQ7+$AP$6*AP7+$AN$6*AN7+$AM$6*$AM7+$AL$6*AL7+$AK$6*AK7+$AO$6*AO7+$AR$6*AR7)*175)</f>
        <v>0</v>
      </c>
    </row>
    <row r="8" spans="19:54" s="34" customFormat="1" ht="48" customHeight="1" thickBot="1">
      <c r="S8" s="12">
        <v>2</v>
      </c>
      <c r="T8" s="242"/>
      <c r="U8" s="35"/>
      <c r="V8" s="127"/>
      <c r="W8" s="127"/>
      <c r="X8" s="36"/>
      <c r="Y8" s="36"/>
      <c r="Z8" s="37">
        <f t="shared" si="0"/>
        <v>0</v>
      </c>
      <c r="AA8" s="38"/>
      <c r="AB8" s="39"/>
      <c r="AC8" s="40"/>
      <c r="AD8" s="101"/>
      <c r="AE8" s="41"/>
      <c r="AF8" s="42"/>
      <c r="AG8" s="42"/>
      <c r="AH8" s="42"/>
      <c r="AI8" s="42"/>
      <c r="AJ8" s="43"/>
      <c r="AK8" s="44"/>
      <c r="AL8" s="45"/>
      <c r="AM8" s="45"/>
      <c r="AN8" s="45"/>
      <c r="AO8" s="45"/>
      <c r="AP8" s="45"/>
      <c r="AQ8" s="45"/>
      <c r="AR8" s="46"/>
      <c r="AS8" s="47"/>
      <c r="AT8" s="35"/>
      <c r="AU8" s="35"/>
      <c r="AV8" s="35"/>
      <c r="AW8" s="48"/>
      <c r="AX8" s="49">
        <f t="shared" si="1"/>
        <v>0</v>
      </c>
      <c r="AY8" s="50">
        <v>0</v>
      </c>
      <c r="AZ8" s="51">
        <v>0</v>
      </c>
      <c r="BA8" s="52">
        <v>0</v>
      </c>
      <c r="BB8" s="53">
        <f t="shared" si="2"/>
        <v>0</v>
      </c>
    </row>
    <row r="9" spans="19:54" s="34" customFormat="1" ht="48" customHeight="1" thickBot="1">
      <c r="S9" s="12">
        <v>3</v>
      </c>
      <c r="T9" s="242"/>
      <c r="U9" s="35"/>
      <c r="V9" s="127"/>
      <c r="W9" s="127"/>
      <c r="X9" s="36"/>
      <c r="Y9" s="36"/>
      <c r="Z9" s="37">
        <f t="shared" si="0"/>
        <v>0</v>
      </c>
      <c r="AA9" s="38"/>
      <c r="AB9" s="39"/>
      <c r="AC9" s="40"/>
      <c r="AD9" s="101"/>
      <c r="AE9" s="41"/>
      <c r="AF9" s="42"/>
      <c r="AG9" s="42"/>
      <c r="AH9" s="42"/>
      <c r="AI9" s="42"/>
      <c r="AJ9" s="43"/>
      <c r="AK9" s="44"/>
      <c r="AL9" s="45"/>
      <c r="AM9" s="45"/>
      <c r="AN9" s="45"/>
      <c r="AO9" s="45"/>
      <c r="AP9" s="45"/>
      <c r="AQ9" s="45"/>
      <c r="AR9" s="46"/>
      <c r="AS9" s="47"/>
      <c r="AT9" s="35"/>
      <c r="AU9" s="35"/>
      <c r="AV9" s="35"/>
      <c r="AW9" s="48"/>
      <c r="AX9" s="49">
        <f t="shared" si="1"/>
        <v>0</v>
      </c>
      <c r="AY9" s="51">
        <v>0</v>
      </c>
      <c r="AZ9" s="52">
        <v>0</v>
      </c>
      <c r="BA9" s="51">
        <v>0</v>
      </c>
      <c r="BB9" s="53">
        <f t="shared" si="2"/>
        <v>0</v>
      </c>
    </row>
    <row r="10" spans="19:54" s="34" customFormat="1" ht="48" customHeight="1" thickBot="1">
      <c r="S10" s="12">
        <v>4</v>
      </c>
      <c r="T10" s="243" t="s">
        <v>5</v>
      </c>
      <c r="U10" s="35"/>
      <c r="V10" s="127"/>
      <c r="W10" s="127"/>
      <c r="X10" s="36"/>
      <c r="Y10" s="36"/>
      <c r="Z10" s="37">
        <f t="shared" si="0"/>
        <v>0</v>
      </c>
      <c r="AA10" s="38"/>
      <c r="AB10" s="39"/>
      <c r="AC10" s="40"/>
      <c r="AD10" s="101"/>
      <c r="AE10" s="41"/>
      <c r="AF10" s="42"/>
      <c r="AG10" s="42"/>
      <c r="AH10" s="42"/>
      <c r="AI10" s="42"/>
      <c r="AJ10" s="43"/>
      <c r="AK10" s="44"/>
      <c r="AL10" s="45"/>
      <c r="AM10" s="45"/>
      <c r="AN10" s="45"/>
      <c r="AO10" s="45"/>
      <c r="AP10" s="45"/>
      <c r="AQ10" s="45"/>
      <c r="AR10" s="46"/>
      <c r="AS10" s="47"/>
      <c r="AT10" s="35"/>
      <c r="AU10" s="35"/>
      <c r="AV10" s="35"/>
      <c r="AW10" s="48"/>
      <c r="AX10" s="49">
        <f t="shared" si="1"/>
        <v>0</v>
      </c>
      <c r="AY10" s="51">
        <v>0</v>
      </c>
      <c r="AZ10" s="52">
        <v>0</v>
      </c>
      <c r="BA10" s="51">
        <v>0</v>
      </c>
      <c r="BB10" s="53">
        <f t="shared" si="2"/>
        <v>0</v>
      </c>
    </row>
    <row r="11" spans="19:54" s="34" customFormat="1" ht="48" customHeight="1" thickBot="1">
      <c r="S11" s="12">
        <v>5</v>
      </c>
      <c r="T11" s="243"/>
      <c r="U11" s="35"/>
      <c r="V11" s="127"/>
      <c r="W11" s="127"/>
      <c r="X11" s="36"/>
      <c r="Y11" s="120"/>
      <c r="Z11" s="37">
        <f t="shared" si="0"/>
        <v>0</v>
      </c>
      <c r="AA11" s="38"/>
      <c r="AB11" s="39"/>
      <c r="AC11" s="147"/>
      <c r="AD11" s="101"/>
      <c r="AE11" s="41"/>
      <c r="AF11" s="42"/>
      <c r="AG11" s="42"/>
      <c r="AH11" s="42"/>
      <c r="AI11" s="42"/>
      <c r="AJ11" s="43"/>
      <c r="AK11" s="44"/>
      <c r="AL11" s="45"/>
      <c r="AM11" s="45"/>
      <c r="AN11" s="45"/>
      <c r="AO11" s="45"/>
      <c r="AP11" s="45"/>
      <c r="AQ11" s="45"/>
      <c r="AR11" s="46"/>
      <c r="AS11" s="47"/>
      <c r="AT11" s="35"/>
      <c r="AU11" s="35"/>
      <c r="AV11" s="35"/>
      <c r="AW11" s="48"/>
      <c r="AX11" s="49">
        <f t="shared" si="1"/>
        <v>0</v>
      </c>
      <c r="AY11" s="50">
        <v>0</v>
      </c>
      <c r="AZ11" s="51">
        <v>0</v>
      </c>
      <c r="BA11" s="52">
        <v>0</v>
      </c>
      <c r="BB11" s="53">
        <f t="shared" si="2"/>
        <v>0</v>
      </c>
    </row>
    <row r="12" spans="19:54" s="34" customFormat="1" ht="48" customHeight="1" thickBot="1">
      <c r="S12" s="12">
        <v>10</v>
      </c>
      <c r="T12" s="243"/>
      <c r="U12" s="13"/>
      <c r="V12" s="14"/>
      <c r="W12" s="14"/>
      <c r="X12" s="54"/>
      <c r="Y12" s="54"/>
      <c r="Z12" s="55">
        <f t="shared" si="0"/>
        <v>0</v>
      </c>
      <c r="AA12" s="19"/>
      <c r="AB12" s="20"/>
      <c r="AC12" s="21"/>
      <c r="AD12" s="100"/>
      <c r="AE12" s="22"/>
      <c r="AF12" s="23"/>
      <c r="AG12" s="23"/>
      <c r="AH12" s="23"/>
      <c r="AI12" s="23"/>
      <c r="AJ12" s="24"/>
      <c r="AK12" s="25"/>
      <c r="AL12" s="26"/>
      <c r="AM12" s="26"/>
      <c r="AN12" s="26"/>
      <c r="AO12" s="26"/>
      <c r="AP12" s="26"/>
      <c r="AQ12" s="26"/>
      <c r="AR12" s="27"/>
      <c r="AS12" s="28"/>
      <c r="AT12" s="13"/>
      <c r="AU12" s="13"/>
      <c r="AV12" s="13"/>
      <c r="AW12" s="29"/>
      <c r="AX12" s="30">
        <f t="shared" si="1"/>
        <v>0</v>
      </c>
      <c r="AY12" s="31">
        <v>0</v>
      </c>
      <c r="AZ12" s="32">
        <v>0</v>
      </c>
      <c r="BA12" s="31">
        <v>0</v>
      </c>
      <c r="BB12" s="56">
        <f t="shared" si="2"/>
        <v>0</v>
      </c>
    </row>
    <row r="13" spans="19:54" s="34" customFormat="1" ht="48" customHeight="1" thickBot="1">
      <c r="S13" s="12">
        <v>11</v>
      </c>
      <c r="T13" s="244" t="s">
        <v>65</v>
      </c>
      <c r="U13" s="35"/>
      <c r="V13" s="127"/>
      <c r="W13" s="127"/>
      <c r="X13" s="36"/>
      <c r="Y13" s="36"/>
      <c r="Z13" s="37">
        <f t="shared" si="0"/>
        <v>0</v>
      </c>
      <c r="AA13" s="38"/>
      <c r="AB13" s="39"/>
      <c r="AC13" s="40"/>
      <c r="AD13" s="101"/>
      <c r="AE13" s="41"/>
      <c r="AF13" s="42"/>
      <c r="AG13" s="42"/>
      <c r="AH13" s="42"/>
      <c r="AI13" s="42"/>
      <c r="AJ13" s="43"/>
      <c r="AK13" s="44"/>
      <c r="AL13" s="45"/>
      <c r="AM13" s="45"/>
      <c r="AN13" s="45"/>
      <c r="AO13" s="45"/>
      <c r="AP13" s="45"/>
      <c r="AQ13" s="45"/>
      <c r="AR13" s="46"/>
      <c r="AS13" s="47"/>
      <c r="AT13" s="35"/>
      <c r="AU13" s="35"/>
      <c r="AV13" s="35"/>
      <c r="AW13" s="48"/>
      <c r="AX13" s="49">
        <f t="shared" si="1"/>
        <v>0</v>
      </c>
      <c r="AY13" s="50">
        <v>0</v>
      </c>
      <c r="AZ13" s="51">
        <v>0</v>
      </c>
      <c r="BA13" s="52">
        <v>0</v>
      </c>
      <c r="BB13" s="57">
        <f t="shared" si="2"/>
        <v>0</v>
      </c>
    </row>
    <row r="14" spans="19:54" s="34" customFormat="1" ht="48" customHeight="1" thickBot="1">
      <c r="S14" s="12">
        <v>12</v>
      </c>
      <c r="T14" s="244"/>
      <c r="U14" s="35"/>
      <c r="V14" s="127"/>
      <c r="W14" s="127"/>
      <c r="X14" s="36"/>
      <c r="Y14" s="36"/>
      <c r="Z14" s="37">
        <f t="shared" si="0"/>
        <v>0</v>
      </c>
      <c r="AA14" s="38"/>
      <c r="AB14" s="39"/>
      <c r="AC14" s="147"/>
      <c r="AD14" s="101"/>
      <c r="AE14" s="41"/>
      <c r="AF14" s="42"/>
      <c r="AG14" s="42"/>
      <c r="AH14" s="42"/>
      <c r="AI14" s="42"/>
      <c r="AJ14" s="43"/>
      <c r="AK14" s="44"/>
      <c r="AL14" s="45"/>
      <c r="AM14" s="45"/>
      <c r="AN14" s="45"/>
      <c r="AO14" s="45"/>
      <c r="AP14" s="45"/>
      <c r="AQ14" s="45"/>
      <c r="AR14" s="46"/>
      <c r="AS14" s="47"/>
      <c r="AT14" s="35"/>
      <c r="AU14" s="35"/>
      <c r="AV14" s="35"/>
      <c r="AW14" s="48"/>
      <c r="AX14" s="49">
        <f t="shared" si="1"/>
        <v>0</v>
      </c>
      <c r="AY14" s="51">
        <v>0</v>
      </c>
      <c r="AZ14" s="52">
        <v>0</v>
      </c>
      <c r="BA14" s="51">
        <v>0</v>
      </c>
      <c r="BB14" s="57">
        <f t="shared" si="2"/>
        <v>0</v>
      </c>
    </row>
    <row r="15" spans="19:54" s="34" customFormat="1" ht="48" customHeight="1" thickBot="1">
      <c r="S15" s="12">
        <v>13</v>
      </c>
      <c r="T15" s="245"/>
      <c r="U15" s="58"/>
      <c r="V15" s="59"/>
      <c r="W15" s="59"/>
      <c r="X15" s="60"/>
      <c r="Y15" s="60"/>
      <c r="Z15" s="61">
        <f t="shared" si="0"/>
        <v>0</v>
      </c>
      <c r="AA15" s="62"/>
      <c r="AB15" s="63"/>
      <c r="AC15" s="64"/>
      <c r="AD15" s="102"/>
      <c r="AE15" s="65"/>
      <c r="AF15" s="66"/>
      <c r="AG15" s="67"/>
      <c r="AH15" s="67"/>
      <c r="AI15" s="67"/>
      <c r="AJ15" s="66"/>
      <c r="AK15" s="68"/>
      <c r="AL15" s="69"/>
      <c r="AM15" s="69"/>
      <c r="AN15" s="69"/>
      <c r="AO15" s="69"/>
      <c r="AP15" s="69"/>
      <c r="AQ15" s="69"/>
      <c r="AR15" s="70"/>
      <c r="AS15" s="71"/>
      <c r="AT15" s="35"/>
      <c r="AU15" s="35"/>
      <c r="AV15" s="35"/>
      <c r="AW15" s="48"/>
      <c r="AX15" s="49">
        <f t="shared" si="1"/>
        <v>0</v>
      </c>
      <c r="AY15" s="50">
        <v>0</v>
      </c>
      <c r="AZ15" s="51">
        <v>0</v>
      </c>
      <c r="BA15" s="52">
        <v>0</v>
      </c>
      <c r="BB15" s="57">
        <f t="shared" si="2"/>
        <v>0</v>
      </c>
    </row>
    <row r="16" spans="19:54" s="72" customFormat="1" ht="50.1" customHeight="1">
      <c r="S16" s="254" t="s">
        <v>42</v>
      </c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5" t="s">
        <v>53</v>
      </c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6" t="s">
        <v>43</v>
      </c>
      <c r="AU16" s="257"/>
      <c r="AV16" s="257"/>
      <c r="AW16" s="257"/>
      <c r="AX16" s="257"/>
      <c r="AY16" s="257"/>
      <c r="AZ16" s="257"/>
      <c r="BA16" s="257"/>
      <c r="BB16" s="258"/>
    </row>
    <row r="17" spans="18:62" s="72" customFormat="1" ht="60" customHeight="1">
      <c r="S17" s="73" t="s">
        <v>15</v>
      </c>
      <c r="T17" s="300" t="s">
        <v>44</v>
      </c>
      <c r="U17" s="301"/>
      <c r="V17" s="302" t="s">
        <v>45</v>
      </c>
      <c r="W17" s="303"/>
      <c r="X17" s="74" t="s">
        <v>46</v>
      </c>
      <c r="Y17" s="75" t="s">
        <v>67</v>
      </c>
      <c r="Z17" s="304" t="s">
        <v>47</v>
      </c>
      <c r="AA17" s="304"/>
      <c r="AB17" s="304"/>
      <c r="AC17" s="304"/>
      <c r="AD17" s="304"/>
      <c r="AE17" s="304"/>
      <c r="AF17" s="304"/>
      <c r="AG17" s="305" t="s">
        <v>48</v>
      </c>
      <c r="AH17" s="306"/>
      <c r="AI17" s="307" t="s">
        <v>49</v>
      </c>
      <c r="AJ17" s="307"/>
      <c r="AK17" s="92"/>
      <c r="AL17" s="308" t="s">
        <v>68</v>
      </c>
      <c r="AM17" s="309"/>
      <c r="AN17" s="310"/>
      <c r="AO17" s="288" t="s">
        <v>50</v>
      </c>
      <c r="AP17" s="289"/>
      <c r="AQ17" s="289"/>
      <c r="AR17" s="289"/>
      <c r="AS17" s="289"/>
      <c r="AT17" s="76" t="s">
        <v>51</v>
      </c>
      <c r="AU17" s="290" t="s">
        <v>33</v>
      </c>
      <c r="AV17" s="291"/>
      <c r="AW17" s="77" t="s">
        <v>34</v>
      </c>
      <c r="AX17" s="77" t="s">
        <v>66</v>
      </c>
      <c r="AY17" s="77" t="s">
        <v>35</v>
      </c>
      <c r="AZ17" s="77" t="s">
        <v>36</v>
      </c>
      <c r="BA17" s="292" t="s">
        <v>52</v>
      </c>
      <c r="BB17" s="293"/>
    </row>
    <row r="18" spans="18:62" ht="60.75" customHeight="1">
      <c r="S18" s="78">
        <v>1</v>
      </c>
      <c r="T18" s="294"/>
      <c r="U18" s="295"/>
      <c r="V18" s="280"/>
      <c r="W18" s="281"/>
      <c r="X18" s="79" t="str">
        <f>TEXT(MOD(V18-T18,1),"h:mm")</f>
        <v>0:00</v>
      </c>
      <c r="Y18" s="80"/>
      <c r="Z18" s="282"/>
      <c r="AA18" s="282"/>
      <c r="AB18" s="282"/>
      <c r="AC18" s="282"/>
      <c r="AD18" s="282"/>
      <c r="AE18" s="282"/>
      <c r="AF18" s="282"/>
      <c r="AG18" s="296">
        <f>SUM(AX7:AX9)</f>
        <v>0</v>
      </c>
      <c r="AH18" s="297"/>
      <c r="AI18" s="298">
        <f>SUM(AX10:AX12)</f>
        <v>0</v>
      </c>
      <c r="AJ18" s="298"/>
      <c r="AK18" s="93"/>
      <c r="AL18" s="298">
        <f>SUM(AX13:AX15)</f>
        <v>0</v>
      </c>
      <c r="AM18" s="298"/>
      <c r="AN18" s="298"/>
      <c r="AO18" s="299">
        <f>SUM(AG18:AN18)</f>
        <v>0</v>
      </c>
      <c r="AP18" s="299"/>
      <c r="AQ18" s="299"/>
      <c r="AR18" s="299"/>
      <c r="AS18" s="299"/>
      <c r="AT18" s="81" t="s">
        <v>1</v>
      </c>
      <c r="AU18" s="276">
        <f>SUM(AS7:AS9)</f>
        <v>0</v>
      </c>
      <c r="AV18" s="277"/>
      <c r="AW18" s="82">
        <f>SUM(AT7:AT9)</f>
        <v>0</v>
      </c>
      <c r="AX18" s="82">
        <f>SUM(AV7:AV9)</f>
        <v>0</v>
      </c>
      <c r="AY18" s="82">
        <f>SUM(AU7:AU9)</f>
        <v>0</v>
      </c>
      <c r="AZ18" s="82">
        <f>SUM(AW7:AW9)</f>
        <v>0</v>
      </c>
      <c r="BA18" s="276">
        <f>SUM(AU18:AZ18)</f>
        <v>0</v>
      </c>
      <c r="BB18" s="277"/>
    </row>
    <row r="19" spans="18:62" ht="60.75" customHeight="1">
      <c r="S19" s="78">
        <v>2</v>
      </c>
      <c r="T19" s="278"/>
      <c r="U19" s="279"/>
      <c r="V19" s="280"/>
      <c r="W19" s="281"/>
      <c r="X19" s="79" t="str">
        <f>TEXT(MOD(V19-T19,1),"h:mm")</f>
        <v>0:00</v>
      </c>
      <c r="Y19" s="80"/>
      <c r="Z19" s="282"/>
      <c r="AA19" s="282"/>
      <c r="AB19" s="282"/>
      <c r="AC19" s="282"/>
      <c r="AD19" s="282"/>
      <c r="AE19" s="282"/>
      <c r="AF19" s="282"/>
      <c r="AG19" s="283" t="s">
        <v>41</v>
      </c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5"/>
      <c r="AT19" s="83" t="s">
        <v>5</v>
      </c>
      <c r="AU19" s="286">
        <f>SUM(AS10:AS12)</f>
        <v>0</v>
      </c>
      <c r="AV19" s="287"/>
      <c r="AW19" s="84">
        <f>SUM(AT10:AT12)</f>
        <v>0</v>
      </c>
      <c r="AX19" s="84">
        <f>SUM(AV10:AV12)</f>
        <v>0</v>
      </c>
      <c r="AY19" s="84">
        <f>SUM(AU10:AU12)</f>
        <v>0</v>
      </c>
      <c r="AZ19" s="84">
        <f>SUM(AW10:AW12)</f>
        <v>0</v>
      </c>
      <c r="BA19" s="286">
        <f>SUM(AU19:AZ19)</f>
        <v>0</v>
      </c>
      <c r="BB19" s="287"/>
    </row>
    <row r="20" spans="18:62" ht="60.75" customHeight="1">
      <c r="S20" s="78">
        <v>3</v>
      </c>
      <c r="T20" s="278"/>
      <c r="U20" s="279"/>
      <c r="V20" s="280"/>
      <c r="W20" s="281"/>
      <c r="X20" s="79" t="str">
        <f>TEXT(MOD(V20-T20,1),"h:mm")</f>
        <v>0:00</v>
      </c>
      <c r="Y20" s="80"/>
      <c r="Z20" s="327"/>
      <c r="AA20" s="327"/>
      <c r="AB20" s="327"/>
      <c r="AC20" s="327"/>
      <c r="AD20" s="327"/>
      <c r="AE20" s="327"/>
      <c r="AF20" s="327"/>
      <c r="AG20" s="311">
        <f>SUM(BB7:BB9)</f>
        <v>0</v>
      </c>
      <c r="AH20" s="328"/>
      <c r="AI20" s="311">
        <f>SUM(BB10:BB12)</f>
        <v>0</v>
      </c>
      <c r="AJ20" s="328"/>
      <c r="AK20" s="94"/>
      <c r="AL20" s="311">
        <f>SUM(BB13:BB15)</f>
        <v>0</v>
      </c>
      <c r="AM20" s="329"/>
      <c r="AN20" s="328"/>
      <c r="AO20" s="311">
        <f>SUM(AG20:AN20)</f>
        <v>0</v>
      </c>
      <c r="AP20" s="312"/>
      <c r="AQ20" s="312"/>
      <c r="AR20" s="312"/>
      <c r="AS20" s="313"/>
      <c r="AT20" s="91" t="s">
        <v>65</v>
      </c>
      <c r="AU20" s="314">
        <f>SUM(AS13:AS15)</f>
        <v>0</v>
      </c>
      <c r="AV20" s="315"/>
      <c r="AW20" s="99">
        <f>SUM(AT13:AT15)</f>
        <v>0</v>
      </c>
      <c r="AX20" s="99">
        <f>SUM(AV13:AV15)</f>
        <v>0</v>
      </c>
      <c r="AY20" s="99">
        <f>SUM(AU13:AU15)</f>
        <v>0</v>
      </c>
      <c r="AZ20" s="99">
        <f>SUM(AW13:AW15)</f>
        <v>0</v>
      </c>
      <c r="BA20" s="316">
        <f>SUM(AU20:AZ20)</f>
        <v>0</v>
      </c>
      <c r="BB20" s="317"/>
    </row>
    <row r="21" spans="18:62" ht="60.75" customHeight="1">
      <c r="S21" s="78">
        <v>4</v>
      </c>
      <c r="T21" s="278"/>
      <c r="U21" s="279"/>
      <c r="V21" s="280"/>
      <c r="W21" s="281"/>
      <c r="X21" s="79" t="str">
        <f>TEXT(MOD(V21-T21,1),"h:mm")</f>
        <v>0:00</v>
      </c>
      <c r="Y21" s="80"/>
      <c r="Z21" s="318"/>
      <c r="AA21" s="318"/>
      <c r="AB21" s="318"/>
      <c r="AC21" s="318"/>
      <c r="AD21" s="318"/>
      <c r="AE21" s="318"/>
      <c r="AF21" s="318"/>
      <c r="AG21" s="319" t="s">
        <v>54</v>
      </c>
      <c r="AH21" s="320"/>
      <c r="AI21" s="320"/>
      <c r="AJ21" s="320"/>
      <c r="AK21" s="320"/>
      <c r="AL21" s="320"/>
      <c r="AM21" s="320"/>
      <c r="AN21" s="320"/>
      <c r="AO21" s="320"/>
      <c r="AP21" s="320"/>
      <c r="AQ21" s="320"/>
      <c r="AR21" s="320"/>
      <c r="AS21" s="321"/>
      <c r="AT21" s="322" t="s">
        <v>55</v>
      </c>
      <c r="AU21" s="323"/>
      <c r="AV21" s="324"/>
      <c r="AW21" s="325">
        <v>1680</v>
      </c>
      <c r="AX21" s="326"/>
      <c r="AY21" s="322" t="s">
        <v>56</v>
      </c>
      <c r="AZ21" s="324"/>
      <c r="BA21" s="330">
        <v>1628</v>
      </c>
      <c r="BB21" s="331"/>
    </row>
    <row r="22" spans="18:62" ht="54" customHeight="1">
      <c r="S22" s="78">
        <v>5</v>
      </c>
      <c r="T22" s="278"/>
      <c r="U22" s="279"/>
      <c r="V22" s="280"/>
      <c r="W22" s="281"/>
      <c r="X22" s="79" t="str">
        <f>TEXT(MOD(V22-T22,1),"h:mm")</f>
        <v>0:00</v>
      </c>
      <c r="Y22" s="80"/>
      <c r="Z22" s="318"/>
      <c r="AA22" s="318"/>
      <c r="AB22" s="318"/>
      <c r="AC22" s="318"/>
      <c r="AD22" s="318"/>
      <c r="AE22" s="318"/>
      <c r="AF22" s="318"/>
      <c r="AG22" s="357">
        <f>SUM(AY7:BA9)</f>
        <v>0</v>
      </c>
      <c r="AH22" s="357"/>
      <c r="AI22" s="298">
        <f>SUM(AY10:BA12)</f>
        <v>0</v>
      </c>
      <c r="AJ22" s="298"/>
      <c r="AK22" s="95"/>
      <c r="AL22" s="358">
        <f>SUM(AY13:BA15)</f>
        <v>0</v>
      </c>
      <c r="AM22" s="358"/>
      <c r="AN22" s="359"/>
      <c r="AO22" s="360">
        <f>SUM(AG22:AN22)</f>
        <v>0</v>
      </c>
      <c r="AP22" s="361"/>
      <c r="AQ22" s="361"/>
      <c r="AR22" s="361"/>
      <c r="AS22" s="362"/>
      <c r="AT22" s="98" t="s">
        <v>69</v>
      </c>
      <c r="AU22" s="363" t="s">
        <v>48</v>
      </c>
      <c r="AV22" s="364"/>
      <c r="AW22" s="365" t="s">
        <v>49</v>
      </c>
      <c r="AX22" s="366"/>
      <c r="AY22" s="332" t="s">
        <v>68</v>
      </c>
      <c r="AZ22" s="333"/>
      <c r="BA22" s="334" t="s">
        <v>57</v>
      </c>
      <c r="BB22" s="335"/>
    </row>
    <row r="23" spans="18:62" ht="59.25" customHeight="1">
      <c r="S23" s="336" t="s">
        <v>61</v>
      </c>
      <c r="T23" s="337"/>
      <c r="U23" s="337"/>
      <c r="V23" s="337"/>
      <c r="W23" s="338"/>
      <c r="X23" s="85">
        <f>SUM(X18+X19+X20+X21+X22)</f>
        <v>0</v>
      </c>
      <c r="Y23" s="128" t="s">
        <v>62</v>
      </c>
      <c r="Z23" s="86"/>
      <c r="AA23" s="87"/>
      <c r="AB23" s="87"/>
      <c r="AC23" s="339" t="s">
        <v>63</v>
      </c>
      <c r="AD23" s="339"/>
      <c r="AE23" s="340"/>
      <c r="AF23" s="341"/>
      <c r="AG23" s="342" t="s">
        <v>22</v>
      </c>
      <c r="AH23" s="343"/>
      <c r="AI23" s="344"/>
      <c r="AJ23" s="345" t="s">
        <v>48</v>
      </c>
      <c r="AK23" s="346"/>
      <c r="AL23" s="346"/>
      <c r="AM23" s="347"/>
      <c r="AN23" s="348" t="s">
        <v>49</v>
      </c>
      <c r="AO23" s="348"/>
      <c r="AP23" s="348"/>
      <c r="AQ23" s="349" t="s">
        <v>68</v>
      </c>
      <c r="AR23" s="350"/>
      <c r="AS23" s="351"/>
      <c r="AT23" s="96" t="s">
        <v>60</v>
      </c>
      <c r="AU23" s="352">
        <f>SUM(AQ7:AQ9)</f>
        <v>0</v>
      </c>
      <c r="AV23" s="353"/>
      <c r="AW23" s="352">
        <f>SUM(AQ10:AQ12)</f>
        <v>0</v>
      </c>
      <c r="AX23" s="354"/>
      <c r="AY23" s="352">
        <f>SUM(AQ13:AQ15)</f>
        <v>0</v>
      </c>
      <c r="AZ23" s="353"/>
      <c r="BA23" s="355">
        <f>SUM(AU23:AZ23)</f>
        <v>0</v>
      </c>
      <c r="BB23" s="356"/>
    </row>
    <row r="24" spans="18:62" ht="57" customHeight="1">
      <c r="S24" s="367"/>
      <c r="T24" s="368"/>
      <c r="U24" s="368"/>
      <c r="V24" s="368"/>
      <c r="W24" s="369"/>
      <c r="X24" s="373" t="s">
        <v>73</v>
      </c>
      <c r="Y24" s="104" t="s">
        <v>70</v>
      </c>
      <c r="Z24" s="105" t="s">
        <v>71</v>
      </c>
      <c r="AA24" s="103"/>
      <c r="AB24" s="103"/>
      <c r="AC24" s="375" t="s">
        <v>72</v>
      </c>
      <c r="AD24" s="376"/>
      <c r="AE24" s="377" t="s">
        <v>57</v>
      </c>
      <c r="AF24" s="378"/>
      <c r="AG24" s="379" t="s">
        <v>58</v>
      </c>
      <c r="AH24" s="380"/>
      <c r="AI24" s="381"/>
      <c r="AJ24" s="382">
        <f>AVERAGE(Z7:Z9)</f>
        <v>0</v>
      </c>
      <c r="AK24" s="383"/>
      <c r="AL24" s="383"/>
      <c r="AM24" s="383"/>
      <c r="AN24" s="382">
        <f>AVERAGE(Z10:Z12)</f>
        <v>0</v>
      </c>
      <c r="AO24" s="383"/>
      <c r="AP24" s="383"/>
      <c r="AQ24" s="382">
        <f>AVERAGE(Z13)</f>
        <v>0</v>
      </c>
      <c r="AR24" s="383"/>
      <c r="AS24" s="383"/>
      <c r="AT24" s="97" t="s">
        <v>64</v>
      </c>
      <c r="AU24" s="387">
        <f>SUM(AL7:AP9)</f>
        <v>0</v>
      </c>
      <c r="AV24" s="388"/>
      <c r="AW24" s="387">
        <f>SUM(AL10:AP12)</f>
        <v>0</v>
      </c>
      <c r="AX24" s="388"/>
      <c r="AY24" s="387">
        <f>SUM(AL13:AP15)</f>
        <v>0</v>
      </c>
      <c r="AZ24" s="388"/>
      <c r="BA24" s="389">
        <f>SUM(AU24:AZ24)</f>
        <v>0</v>
      </c>
      <c r="BB24" s="390"/>
    </row>
    <row r="25" spans="18:62" ht="52.5" customHeight="1">
      <c r="S25" s="370"/>
      <c r="T25" s="371"/>
      <c r="U25" s="371"/>
      <c r="V25" s="371"/>
      <c r="W25" s="372"/>
      <c r="X25" s="374"/>
      <c r="Y25" s="106">
        <f>SUM(AD7:AD9)</f>
        <v>0</v>
      </c>
      <c r="Z25" s="106">
        <f>SUM(AD10:AD12)</f>
        <v>0</v>
      </c>
      <c r="AA25" s="107"/>
      <c r="AB25" s="107"/>
      <c r="AC25" s="391">
        <f>SUM(AD13:AD15)</f>
        <v>0</v>
      </c>
      <c r="AD25" s="392"/>
      <c r="AE25" s="393">
        <f>SUM(Y25:AD25)</f>
        <v>0</v>
      </c>
      <c r="AF25" s="394"/>
      <c r="AG25" s="379" t="s">
        <v>59</v>
      </c>
      <c r="AH25" s="380"/>
      <c r="AI25" s="381"/>
      <c r="AJ25" s="382">
        <f>SUM(Z7:Z9)</f>
        <v>0</v>
      </c>
      <c r="AK25" s="383"/>
      <c r="AL25" s="383"/>
      <c r="AM25" s="383"/>
      <c r="AN25" s="382">
        <f>SUM(Z10:Z12)</f>
        <v>0</v>
      </c>
      <c r="AO25" s="383"/>
      <c r="AP25" s="383"/>
      <c r="AQ25" s="382">
        <f>SUM(Z13:Z15)</f>
        <v>0</v>
      </c>
      <c r="AR25" s="383"/>
      <c r="AS25" s="383"/>
      <c r="AT25" s="384"/>
      <c r="AU25" s="385"/>
      <c r="AV25" s="385"/>
      <c r="AW25" s="385"/>
      <c r="AX25" s="385"/>
      <c r="AY25" s="385"/>
      <c r="AZ25" s="385"/>
      <c r="BA25" s="385"/>
      <c r="BB25" s="386"/>
    </row>
    <row r="26" spans="18:62" ht="60.75" customHeight="1"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8:62" ht="30" customHeight="1"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8:62" ht="30" customHeight="1"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T28" s="4"/>
      <c r="AU28" s="4"/>
      <c r="AV28" s="4"/>
      <c r="AW28" s="4"/>
      <c r="AX28" s="4"/>
      <c r="AY28" s="4"/>
      <c r="AZ28" s="4"/>
      <c r="BA28" s="4"/>
    </row>
    <row r="29" spans="18:62" ht="30" customHeight="1"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T29" s="4"/>
      <c r="AU29" s="4"/>
      <c r="AV29" s="4"/>
      <c r="AW29" s="4"/>
      <c r="AX29" s="4"/>
      <c r="AY29" s="4"/>
      <c r="AZ29" s="4"/>
      <c r="BA29" s="4"/>
    </row>
    <row r="30" spans="18:62" ht="30" customHeight="1">
      <c r="R30" s="3"/>
      <c r="S30" s="3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T30" s="4"/>
      <c r="AU30" s="4"/>
      <c r="AV30" s="4"/>
      <c r="AW30" s="4"/>
      <c r="AX30" s="4"/>
      <c r="AY30" s="4"/>
      <c r="AZ30" s="4"/>
      <c r="BA30" s="4"/>
    </row>
    <row r="31" spans="18:62" ht="30" customHeight="1">
      <c r="R31" s="3"/>
      <c r="S31" s="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T31" s="4"/>
      <c r="AU31" s="4"/>
      <c r="AV31" s="4"/>
      <c r="AW31" s="4"/>
      <c r="AX31" s="4"/>
      <c r="AY31" s="4"/>
      <c r="AZ31" s="4"/>
      <c r="BA31" s="4"/>
    </row>
    <row r="32" spans="18:62" ht="15" customHeight="1">
      <c r="S32" s="3"/>
      <c r="BJ32" s="4">
        <v>8</v>
      </c>
    </row>
  </sheetData>
  <mergeCells count="145">
    <mergeCell ref="S1:W3"/>
    <mergeCell ref="X1:Y3"/>
    <mergeCell ref="AC1:AE1"/>
    <mergeCell ref="AF1:AH1"/>
    <mergeCell ref="AI1:AL1"/>
    <mergeCell ref="AM1:AP1"/>
    <mergeCell ref="AF3:AH3"/>
    <mergeCell ref="AI3:AL3"/>
    <mergeCell ref="AM3:AP3"/>
    <mergeCell ref="AQ1:AT1"/>
    <mergeCell ref="AU1:AW1"/>
    <mergeCell ref="AF5:AF6"/>
    <mergeCell ref="AG5:AG6"/>
    <mergeCell ref="AX1:BB3"/>
    <mergeCell ref="AC2:AE2"/>
    <mergeCell ref="AF2:AH2"/>
    <mergeCell ref="AI2:AL2"/>
    <mergeCell ref="AM2:AP2"/>
    <mergeCell ref="AQ2:AT2"/>
    <mergeCell ref="AU2:AW2"/>
    <mergeCell ref="AC3:AE3"/>
    <mergeCell ref="AQ3:AT3"/>
    <mergeCell ref="AU3:AW3"/>
    <mergeCell ref="AX4:BB4"/>
    <mergeCell ref="BA5:BA6"/>
    <mergeCell ref="BB5:BB6"/>
    <mergeCell ref="S4:Z4"/>
    <mergeCell ref="AA4:AB4"/>
    <mergeCell ref="AC4:AD4"/>
    <mergeCell ref="AE4:AJ4"/>
    <mergeCell ref="AL4:AQ4"/>
    <mergeCell ref="AS4:AW4"/>
    <mergeCell ref="T7:T9"/>
    <mergeCell ref="T10:T12"/>
    <mergeCell ref="T13:T15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S16:AF16"/>
    <mergeCell ref="AG16:AS16"/>
    <mergeCell ref="AT16:BB16"/>
    <mergeCell ref="AU5:AU6"/>
    <mergeCell ref="AV5:AV6"/>
    <mergeCell ref="AW5:AW6"/>
    <mergeCell ref="AX5:AX6"/>
    <mergeCell ref="AY5:AY6"/>
    <mergeCell ref="AZ5:AZ6"/>
    <mergeCell ref="AH5:AH6"/>
    <mergeCell ref="AI5:AI6"/>
    <mergeCell ref="AJ5:AJ6"/>
    <mergeCell ref="AK5:AR5"/>
    <mergeCell ref="AS5:AS6"/>
    <mergeCell ref="AT5:AT6"/>
    <mergeCell ref="AB5:AB6"/>
    <mergeCell ref="AC5:AC6"/>
    <mergeCell ref="AD5:AD6"/>
    <mergeCell ref="AE5:AE6"/>
    <mergeCell ref="AU18:AV18"/>
    <mergeCell ref="BA18:BB18"/>
    <mergeCell ref="T19:U19"/>
    <mergeCell ref="V19:W19"/>
    <mergeCell ref="Z19:AF19"/>
    <mergeCell ref="AG19:AS19"/>
    <mergeCell ref="AU19:AV19"/>
    <mergeCell ref="BA19:BB19"/>
    <mergeCell ref="AO17:AS17"/>
    <mergeCell ref="AU17:AV17"/>
    <mergeCell ref="BA17:BB17"/>
    <mergeCell ref="T18:U18"/>
    <mergeCell ref="V18:W18"/>
    <mergeCell ref="Z18:AF18"/>
    <mergeCell ref="AG18:AH18"/>
    <mergeCell ref="AI18:AJ18"/>
    <mergeCell ref="AL18:AN18"/>
    <mergeCell ref="AO18:AS18"/>
    <mergeCell ref="T17:U17"/>
    <mergeCell ref="V17:W17"/>
    <mergeCell ref="Z17:AF17"/>
    <mergeCell ref="AG17:AH17"/>
    <mergeCell ref="AI17:AJ17"/>
    <mergeCell ref="AL17:AN17"/>
    <mergeCell ref="AO20:AS20"/>
    <mergeCell ref="AU20:AV20"/>
    <mergeCell ref="BA20:BB20"/>
    <mergeCell ref="T21:U21"/>
    <mergeCell ref="V21:W21"/>
    <mergeCell ref="Z21:AF21"/>
    <mergeCell ref="AG21:AS21"/>
    <mergeCell ref="AT21:AV21"/>
    <mergeCell ref="AW21:AX21"/>
    <mergeCell ref="AY21:AZ21"/>
    <mergeCell ref="T20:U20"/>
    <mergeCell ref="V20:W20"/>
    <mergeCell ref="Z20:AF20"/>
    <mergeCell ref="AG20:AH20"/>
    <mergeCell ref="AI20:AJ20"/>
    <mergeCell ref="AL20:AN20"/>
    <mergeCell ref="BA21:BB21"/>
    <mergeCell ref="AY22:AZ22"/>
    <mergeCell ref="BA22:BB22"/>
    <mergeCell ref="S23:W23"/>
    <mergeCell ref="AC23:AD23"/>
    <mergeCell ref="AE23:AF23"/>
    <mergeCell ref="AG23:AI23"/>
    <mergeCell ref="AJ23:AM23"/>
    <mergeCell ref="AN23:AP23"/>
    <mergeCell ref="AQ23:AS23"/>
    <mergeCell ref="AU23:AV23"/>
    <mergeCell ref="AW23:AX23"/>
    <mergeCell ref="AY23:AZ23"/>
    <mergeCell ref="BA23:BB23"/>
    <mergeCell ref="T22:U22"/>
    <mergeCell ref="V22:W22"/>
    <mergeCell ref="Z22:AF22"/>
    <mergeCell ref="AG22:AH22"/>
    <mergeCell ref="AI22:AJ22"/>
    <mergeCell ref="AL22:AN22"/>
    <mergeCell ref="AO22:AS22"/>
    <mergeCell ref="AU22:AV22"/>
    <mergeCell ref="AW22:AX22"/>
    <mergeCell ref="S24:W25"/>
    <mergeCell ref="X24:X25"/>
    <mergeCell ref="AC24:AD24"/>
    <mergeCell ref="AE24:AF24"/>
    <mergeCell ref="AG24:AI24"/>
    <mergeCell ref="AJ24:AM24"/>
    <mergeCell ref="AN24:AP24"/>
    <mergeCell ref="AQ25:AS25"/>
    <mergeCell ref="AT25:BB25"/>
    <mergeCell ref="AQ24:AS24"/>
    <mergeCell ref="AU24:AV24"/>
    <mergeCell ref="AW24:AX24"/>
    <mergeCell ref="AY24:AZ24"/>
    <mergeCell ref="BA24:BB24"/>
    <mergeCell ref="AC25:AD25"/>
    <mergeCell ref="AE25:AF25"/>
    <mergeCell ref="AG25:AI25"/>
    <mergeCell ref="AJ25:AM25"/>
    <mergeCell ref="AN25:AP25"/>
  </mergeCells>
  <conditionalFormatting sqref="Z7:Z15">
    <cfRule type="cellIs" dxfId="168" priority="3" operator="greaterThan">
      <formula>0.167361111111111</formula>
    </cfRule>
    <cfRule type="cellIs" dxfId="167" priority="4" operator="greaterThan">
      <formula>0.15625</formula>
    </cfRule>
  </conditionalFormatting>
  <conditionalFormatting sqref="AA7:AJ15">
    <cfRule type="cellIs" dxfId="166" priority="11" operator="between">
      <formula>1700</formula>
      <formula>1710</formula>
    </cfRule>
    <cfRule type="cellIs" dxfId="165" priority="12" operator="between">
      <formula>1691</formula>
      <formula>1700</formula>
    </cfRule>
  </conditionalFormatting>
  <conditionalFormatting sqref="AS7:AS15">
    <cfRule type="expression" dxfId="164" priority="13">
      <formula>IF(($AS7/$AX7)*1000&gt;$AY$1,1,0)</formula>
    </cfRule>
  </conditionalFormatting>
  <conditionalFormatting sqref="AT7:AW15">
    <cfRule type="cellIs" dxfId="163" priority="5" operator="greaterThan">
      <formula>10</formula>
    </cfRule>
  </conditionalFormatting>
  <conditionalFormatting sqref="AX7:AX15">
    <cfRule type="cellIs" dxfId="162" priority="2" operator="between">
      <formula>16000</formula>
      <formula>17200</formula>
    </cfRule>
    <cfRule type="cellIs" dxfId="161" priority="6" operator="lessThan">
      <formula>15800</formula>
    </cfRule>
    <cfRule type="cellIs" dxfId="160" priority="7" operator="greaterThan">
      <formula>18000</formula>
    </cfRule>
  </conditionalFormatting>
  <conditionalFormatting sqref="AZ7:BA15">
    <cfRule type="cellIs" dxfId="159" priority="10" operator="greaterThan">
      <formula>0</formula>
    </cfRule>
  </conditionalFormatting>
  <conditionalFormatting sqref="BB7:BB15">
    <cfRule type="cellIs" dxfId="158" priority="1" operator="between">
      <formula>16000</formula>
      <formula>17200</formula>
    </cfRule>
    <cfRule type="cellIs" dxfId="157" priority="8" operator="greaterThan">
      <formula>18000</formula>
    </cfRule>
    <cfRule type="cellIs" dxfId="156" priority="9" operator="lessThan">
      <formula>15800</formula>
    </cfRule>
  </conditionalFormatting>
  <printOptions horizontalCentered="1" verticalCentered="1"/>
  <pageMargins left="0" right="0" top="0" bottom="0.21" header="0" footer="0"/>
  <pageSetup paperSize="9" scale="42" orientation="landscape" cellComments="asDisplayed" r:id="rId1"/>
  <headerFooter differentFirst="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8FC94-2C53-458A-93ED-1B42967DFA3D}">
  <sheetPr>
    <tabColor theme="5"/>
    <pageSetUpPr fitToPage="1"/>
  </sheetPr>
  <dimension ref="R1:BJ32"/>
  <sheetViews>
    <sheetView showGridLines="0" rightToLeft="1" topLeftCell="T1" zoomScale="55" zoomScaleNormal="55" zoomScalePageLayoutView="40" workbookViewId="0">
      <selection activeCell="AV5" sqref="AV5:AV6"/>
    </sheetView>
  </sheetViews>
  <sheetFormatPr defaultColWidth="9.140625" defaultRowHeight="15"/>
  <cols>
    <col min="1" max="18" width="9.140625" style="4"/>
    <col min="19" max="19" width="5.7109375" style="4" customWidth="1"/>
    <col min="20" max="20" width="9.5703125" style="3" customWidth="1"/>
    <col min="21" max="21" width="10.7109375" style="3" customWidth="1"/>
    <col min="22" max="22" width="9.42578125" style="88" customWidth="1"/>
    <col min="23" max="23" width="8.85546875" style="88" customWidth="1"/>
    <col min="24" max="24" width="14.42578125" style="3" customWidth="1"/>
    <col min="25" max="25" width="14.7109375" style="3" customWidth="1"/>
    <col min="26" max="26" width="15.140625" style="88" customWidth="1"/>
    <col min="27" max="27" width="9.5703125" style="3" hidden="1" customWidth="1"/>
    <col min="28" max="28" width="10" style="3" hidden="1" customWidth="1"/>
    <col min="29" max="29" width="8.140625" style="3" customWidth="1"/>
    <col min="30" max="30" width="8.5703125" style="3" customWidth="1"/>
    <col min="31" max="31" width="12.42578125" style="3" customWidth="1"/>
    <col min="32" max="32" width="10.5703125" style="3" customWidth="1"/>
    <col min="33" max="33" width="9.5703125" style="3" customWidth="1"/>
    <col min="34" max="34" width="11.42578125" style="3" customWidth="1"/>
    <col min="35" max="35" width="9.42578125" style="3" customWidth="1"/>
    <col min="36" max="36" width="9.28515625" style="3" customWidth="1"/>
    <col min="37" max="37" width="6.7109375" style="3" hidden="1" customWidth="1"/>
    <col min="38" max="42" width="6.7109375" style="3" customWidth="1"/>
    <col min="43" max="43" width="8.140625" style="3" customWidth="1"/>
    <col min="44" max="44" width="6.7109375" style="3" hidden="1" customWidth="1"/>
    <col min="45" max="45" width="10.42578125" style="3" customWidth="1"/>
    <col min="46" max="46" width="8.7109375" style="3" customWidth="1"/>
    <col min="47" max="47" width="8.5703125" style="3" customWidth="1"/>
    <col min="48" max="48" width="8.7109375" style="3" customWidth="1"/>
    <col min="49" max="49" width="9.5703125" style="3" customWidth="1"/>
    <col min="50" max="50" width="12.42578125" style="88" customWidth="1"/>
    <col min="51" max="51" width="11.85546875" style="3" customWidth="1"/>
    <col min="52" max="52" width="11.5703125" style="3" customWidth="1"/>
    <col min="53" max="53" width="13.42578125" style="3" customWidth="1"/>
    <col min="54" max="54" width="13.5703125" style="4" customWidth="1"/>
    <col min="55" max="57" width="9.140625" style="4"/>
    <col min="58" max="58" width="25" style="4" customWidth="1"/>
    <col min="59" max="61" width="9.140625" style="4"/>
    <col min="62" max="62" width="23.5703125" style="4" customWidth="1"/>
    <col min="63" max="16384" width="9.140625" style="4"/>
  </cols>
  <sheetData>
    <row r="1" spans="19:54" ht="36.75" customHeight="1" thickBot="1">
      <c r="S1" s="180"/>
      <c r="T1" s="181"/>
      <c r="U1" s="181"/>
      <c r="V1" s="181"/>
      <c r="W1" s="181"/>
      <c r="X1" s="182" t="s">
        <v>0</v>
      </c>
      <c r="Y1" s="183"/>
      <c r="Z1" s="1" t="s">
        <v>1</v>
      </c>
      <c r="AA1" s="2"/>
      <c r="AC1" s="188" t="s">
        <v>2</v>
      </c>
      <c r="AD1" s="189"/>
      <c r="AE1" s="189"/>
      <c r="AF1" s="190" t="s">
        <v>75</v>
      </c>
      <c r="AG1" s="191"/>
      <c r="AH1" s="192"/>
      <c r="AI1" s="193" t="s">
        <v>3</v>
      </c>
      <c r="AJ1" s="194"/>
      <c r="AK1" s="194"/>
      <c r="AL1" s="195"/>
      <c r="AM1" s="196" t="s">
        <v>76</v>
      </c>
      <c r="AN1" s="197"/>
      <c r="AO1" s="197"/>
      <c r="AP1" s="198"/>
      <c r="AQ1" s="203" t="s">
        <v>4</v>
      </c>
      <c r="AR1" s="204"/>
      <c r="AS1" s="204"/>
      <c r="AT1" s="205"/>
      <c r="AU1" s="206" t="s">
        <v>74</v>
      </c>
      <c r="AV1" s="207"/>
      <c r="AW1" s="208"/>
      <c r="AX1" s="211" t="s">
        <v>104</v>
      </c>
      <c r="AY1" s="211"/>
      <c r="AZ1" s="211"/>
      <c r="BA1" s="211"/>
      <c r="BB1" s="211"/>
    </row>
    <row r="2" spans="19:54" ht="36.75" customHeight="1" thickBot="1">
      <c r="S2" s="180"/>
      <c r="T2" s="181"/>
      <c r="U2" s="181"/>
      <c r="V2" s="181"/>
      <c r="W2" s="181"/>
      <c r="X2" s="184"/>
      <c r="Y2" s="185"/>
      <c r="Z2" s="5" t="s">
        <v>5</v>
      </c>
      <c r="AA2" s="89"/>
      <c r="AC2" s="188" t="s">
        <v>2</v>
      </c>
      <c r="AD2" s="189"/>
      <c r="AE2" s="212"/>
      <c r="AF2" s="190" t="s">
        <v>78</v>
      </c>
      <c r="AG2" s="191"/>
      <c r="AH2" s="192"/>
      <c r="AI2" s="193" t="s">
        <v>3</v>
      </c>
      <c r="AJ2" s="194"/>
      <c r="AK2" s="194"/>
      <c r="AL2" s="195"/>
      <c r="AM2" s="202" t="s">
        <v>79</v>
      </c>
      <c r="AN2" s="202"/>
      <c r="AO2" s="202"/>
      <c r="AP2" s="202"/>
      <c r="AQ2" s="203" t="s">
        <v>4</v>
      </c>
      <c r="AR2" s="204"/>
      <c r="AS2" s="204"/>
      <c r="AT2" s="205"/>
      <c r="AU2" s="213" t="s">
        <v>77</v>
      </c>
      <c r="AV2" s="213"/>
      <c r="AW2" s="213"/>
      <c r="AX2" s="211"/>
      <c r="AY2" s="211"/>
      <c r="AZ2" s="211"/>
      <c r="BA2" s="211"/>
      <c r="BB2" s="211"/>
    </row>
    <row r="3" spans="19:54" ht="38.25" customHeight="1" thickBot="1">
      <c r="S3" s="181"/>
      <c r="T3" s="181"/>
      <c r="U3" s="181"/>
      <c r="V3" s="181"/>
      <c r="W3" s="181"/>
      <c r="X3" s="186"/>
      <c r="Y3" s="187"/>
      <c r="Z3" s="90" t="s">
        <v>65</v>
      </c>
      <c r="AA3" s="6"/>
      <c r="AC3" s="188" t="s">
        <v>6</v>
      </c>
      <c r="AD3" s="189"/>
      <c r="AE3" s="212"/>
      <c r="AF3" s="190" t="s">
        <v>81</v>
      </c>
      <c r="AG3" s="191"/>
      <c r="AH3" s="192"/>
      <c r="AI3" s="199" t="s">
        <v>7</v>
      </c>
      <c r="AJ3" s="200"/>
      <c r="AK3" s="200"/>
      <c r="AL3" s="201"/>
      <c r="AM3" s="202" t="s">
        <v>82</v>
      </c>
      <c r="AN3" s="202"/>
      <c r="AO3" s="202"/>
      <c r="AP3" s="202"/>
      <c r="AQ3" s="203" t="s">
        <v>4</v>
      </c>
      <c r="AR3" s="204"/>
      <c r="AS3" s="204"/>
      <c r="AT3" s="214"/>
      <c r="AU3" s="215" t="s">
        <v>80</v>
      </c>
      <c r="AV3" s="216"/>
      <c r="AW3" s="217"/>
      <c r="AX3" s="211"/>
      <c r="AY3" s="211"/>
      <c r="AZ3" s="211"/>
      <c r="BA3" s="211"/>
      <c r="BB3" s="211"/>
    </row>
    <row r="4" spans="19:54" ht="34.5" customHeight="1" thickBot="1">
      <c r="S4" s="225" t="s">
        <v>8</v>
      </c>
      <c r="T4" s="226"/>
      <c r="U4" s="226"/>
      <c r="V4" s="226"/>
      <c r="W4" s="226"/>
      <c r="X4" s="227"/>
      <c r="Y4" s="227"/>
      <c r="Z4" s="228"/>
      <c r="AA4" s="229" t="s">
        <v>9</v>
      </c>
      <c r="AB4" s="230"/>
      <c r="AC4" s="231" t="s">
        <v>10</v>
      </c>
      <c r="AD4" s="232"/>
      <c r="AE4" s="233" t="s">
        <v>11</v>
      </c>
      <c r="AF4" s="234"/>
      <c r="AG4" s="234"/>
      <c r="AH4" s="234"/>
      <c r="AI4" s="234"/>
      <c r="AJ4" s="235"/>
      <c r="AK4" s="7"/>
      <c r="AL4" s="236" t="s">
        <v>12</v>
      </c>
      <c r="AM4" s="237"/>
      <c r="AN4" s="237"/>
      <c r="AO4" s="237"/>
      <c r="AP4" s="237"/>
      <c r="AQ4" s="237"/>
      <c r="AR4" s="8"/>
      <c r="AS4" s="238" t="s">
        <v>13</v>
      </c>
      <c r="AT4" s="239"/>
      <c r="AU4" s="239"/>
      <c r="AV4" s="239"/>
      <c r="AW4" s="240"/>
      <c r="AX4" s="218" t="s">
        <v>14</v>
      </c>
      <c r="AY4" s="219"/>
      <c r="AZ4" s="219"/>
      <c r="BA4" s="219"/>
      <c r="BB4" s="220"/>
    </row>
    <row r="5" spans="19:54" ht="52.5" customHeight="1">
      <c r="S5" s="246" t="s">
        <v>15</v>
      </c>
      <c r="T5" s="248" t="s">
        <v>16</v>
      </c>
      <c r="U5" s="248" t="s">
        <v>17</v>
      </c>
      <c r="V5" s="248" t="s">
        <v>18</v>
      </c>
      <c r="W5" s="248" t="s">
        <v>19</v>
      </c>
      <c r="X5" s="248" t="s">
        <v>20</v>
      </c>
      <c r="Y5" s="248" t="s">
        <v>21</v>
      </c>
      <c r="Z5" s="250" t="s">
        <v>22</v>
      </c>
      <c r="AA5" s="252" t="s">
        <v>23</v>
      </c>
      <c r="AB5" s="270" t="s">
        <v>9</v>
      </c>
      <c r="AC5" s="272" t="s">
        <v>24</v>
      </c>
      <c r="AD5" s="272" t="s">
        <v>25</v>
      </c>
      <c r="AE5" s="274" t="s">
        <v>26</v>
      </c>
      <c r="AF5" s="209" t="s">
        <v>27</v>
      </c>
      <c r="AG5" s="209" t="s">
        <v>28</v>
      </c>
      <c r="AH5" s="263" t="s">
        <v>29</v>
      </c>
      <c r="AI5" s="263" t="s">
        <v>30</v>
      </c>
      <c r="AJ5" s="265" t="s">
        <v>31</v>
      </c>
      <c r="AK5" s="267" t="s">
        <v>32</v>
      </c>
      <c r="AL5" s="268"/>
      <c r="AM5" s="268"/>
      <c r="AN5" s="268"/>
      <c r="AO5" s="268"/>
      <c r="AP5" s="268"/>
      <c r="AQ5" s="268"/>
      <c r="AR5" s="269"/>
      <c r="AS5" s="259" t="s">
        <v>33</v>
      </c>
      <c r="AT5" s="259" t="s">
        <v>34</v>
      </c>
      <c r="AU5" s="259" t="s">
        <v>35</v>
      </c>
      <c r="AV5" s="259" t="s">
        <v>66</v>
      </c>
      <c r="AW5" s="261" t="s">
        <v>36</v>
      </c>
      <c r="AX5" s="252" t="s">
        <v>37</v>
      </c>
      <c r="AY5" s="221" t="s">
        <v>38</v>
      </c>
      <c r="AZ5" s="221" t="s">
        <v>39</v>
      </c>
      <c r="BA5" s="221" t="s">
        <v>40</v>
      </c>
      <c r="BB5" s="223" t="s">
        <v>41</v>
      </c>
    </row>
    <row r="6" spans="19:54" ht="27.95" customHeight="1" thickBot="1">
      <c r="S6" s="247"/>
      <c r="T6" s="249"/>
      <c r="U6" s="249"/>
      <c r="V6" s="249"/>
      <c r="W6" s="249"/>
      <c r="X6" s="249"/>
      <c r="Y6" s="249"/>
      <c r="Z6" s="251"/>
      <c r="AA6" s="253"/>
      <c r="AB6" s="271"/>
      <c r="AC6" s="273"/>
      <c r="AD6" s="273"/>
      <c r="AE6" s="275"/>
      <c r="AF6" s="210"/>
      <c r="AG6" s="210"/>
      <c r="AH6" s="264"/>
      <c r="AI6" s="264"/>
      <c r="AJ6" s="266"/>
      <c r="AK6" s="9">
        <v>1</v>
      </c>
      <c r="AL6" s="10">
        <v>2</v>
      </c>
      <c r="AM6" s="10">
        <v>3</v>
      </c>
      <c r="AN6" s="10">
        <v>4</v>
      </c>
      <c r="AO6" s="10">
        <v>5</v>
      </c>
      <c r="AP6" s="10">
        <v>6</v>
      </c>
      <c r="AQ6" s="10">
        <v>12</v>
      </c>
      <c r="AR6" s="11"/>
      <c r="AS6" s="260"/>
      <c r="AT6" s="260"/>
      <c r="AU6" s="260"/>
      <c r="AV6" s="260"/>
      <c r="AW6" s="262"/>
      <c r="AX6" s="253"/>
      <c r="AY6" s="222"/>
      <c r="AZ6" s="222"/>
      <c r="BA6" s="222"/>
      <c r="BB6" s="224"/>
    </row>
    <row r="7" spans="19:54" s="34" customFormat="1" ht="48" customHeight="1" thickBot="1">
      <c r="S7" s="12">
        <v>1</v>
      </c>
      <c r="T7" s="241" t="s">
        <v>1</v>
      </c>
      <c r="U7" s="13"/>
      <c r="V7" s="14"/>
      <c r="W7" s="15"/>
      <c r="X7" s="16"/>
      <c r="Y7" s="17"/>
      <c r="Z7" s="18">
        <f t="shared" ref="Z7:Z15" si="0">IF(Y7&lt;X7,1+Y7-X7,Y7-X7)</f>
        <v>0</v>
      </c>
      <c r="AA7" s="19"/>
      <c r="AB7" s="20"/>
      <c r="AC7" s="21"/>
      <c r="AD7" s="100"/>
      <c r="AE7" s="22"/>
      <c r="AF7" s="23"/>
      <c r="AG7" s="23"/>
      <c r="AH7" s="23"/>
      <c r="AI7" s="23"/>
      <c r="AJ7" s="24"/>
      <c r="AK7" s="25"/>
      <c r="AL7" s="26"/>
      <c r="AM7" s="26"/>
      <c r="AN7" s="26"/>
      <c r="AO7" s="26"/>
      <c r="AP7" s="26"/>
      <c r="AQ7" s="26"/>
      <c r="AR7" s="27"/>
      <c r="AS7" s="28"/>
      <c r="AT7" s="13"/>
      <c r="AU7" s="13"/>
      <c r="AV7" s="13"/>
      <c r="AW7" s="29"/>
      <c r="AX7" s="30">
        <f t="shared" ref="AX7:AX15" si="1">SUM(AY7:BB7)</f>
        <v>0</v>
      </c>
      <c r="AY7" s="31">
        <v>0</v>
      </c>
      <c r="AZ7" s="32">
        <v>0</v>
      </c>
      <c r="BA7" s="31">
        <v>0</v>
      </c>
      <c r="BB7" s="33">
        <f t="shared" ref="BB7:BB15" si="2">SUM(($AQ$6*AQ7+$AP$6*AP7+$AN$6*AN7+$AM$6*$AM7+$AL$6*AL7+$AK$6*AK7+$AO$6*AO7+$AR$6*AR7)*175)</f>
        <v>0</v>
      </c>
    </row>
    <row r="8" spans="19:54" s="34" customFormat="1" ht="48" customHeight="1" thickBot="1">
      <c r="S8" s="12">
        <v>2</v>
      </c>
      <c r="T8" s="242"/>
      <c r="U8" s="35"/>
      <c r="V8" s="125"/>
      <c r="W8" s="125"/>
      <c r="X8" s="36"/>
      <c r="Y8" s="36"/>
      <c r="Z8" s="37">
        <f t="shared" si="0"/>
        <v>0</v>
      </c>
      <c r="AA8" s="38"/>
      <c r="AB8" s="39"/>
      <c r="AC8" s="147"/>
      <c r="AD8" s="101"/>
      <c r="AE8" s="41"/>
      <c r="AF8" s="42"/>
      <c r="AG8" s="42"/>
      <c r="AH8" s="42"/>
      <c r="AI8" s="42"/>
      <c r="AJ8" s="43"/>
      <c r="AK8" s="44"/>
      <c r="AL8" s="45"/>
      <c r="AM8" s="45"/>
      <c r="AN8" s="45"/>
      <c r="AO8" s="45"/>
      <c r="AP8" s="45"/>
      <c r="AQ8" s="45"/>
      <c r="AR8" s="46"/>
      <c r="AS8" s="47"/>
      <c r="AT8" s="35"/>
      <c r="AU8" s="35"/>
      <c r="AV8" s="35"/>
      <c r="AW8" s="48"/>
      <c r="AX8" s="49">
        <f t="shared" si="1"/>
        <v>0</v>
      </c>
      <c r="AY8" s="50">
        <v>0</v>
      </c>
      <c r="AZ8" s="51">
        <v>0</v>
      </c>
      <c r="BA8" s="52">
        <v>0</v>
      </c>
      <c r="BB8" s="53">
        <f t="shared" si="2"/>
        <v>0</v>
      </c>
    </row>
    <row r="9" spans="19:54" s="34" customFormat="1" ht="48" customHeight="1" thickBot="1">
      <c r="S9" s="12">
        <v>3</v>
      </c>
      <c r="T9" s="242"/>
      <c r="U9" s="35"/>
      <c r="V9" s="125"/>
      <c r="W9" s="125"/>
      <c r="X9" s="36"/>
      <c r="Y9" s="36"/>
      <c r="Z9" s="37">
        <f t="shared" si="0"/>
        <v>0</v>
      </c>
      <c r="AA9" s="38"/>
      <c r="AB9" s="39"/>
      <c r="AC9" s="147"/>
      <c r="AD9" s="101"/>
      <c r="AE9" s="41"/>
      <c r="AF9" s="42"/>
      <c r="AG9" s="42"/>
      <c r="AH9" s="42"/>
      <c r="AI9" s="42"/>
      <c r="AJ9" s="43"/>
      <c r="AK9" s="44"/>
      <c r="AL9" s="45"/>
      <c r="AM9" s="45"/>
      <c r="AN9" s="45"/>
      <c r="AO9" s="45"/>
      <c r="AP9" s="45"/>
      <c r="AQ9" s="45"/>
      <c r="AR9" s="46"/>
      <c r="AS9" s="47"/>
      <c r="AT9" s="35"/>
      <c r="AU9" s="35"/>
      <c r="AV9" s="35"/>
      <c r="AW9" s="48"/>
      <c r="AX9" s="49">
        <f t="shared" si="1"/>
        <v>0</v>
      </c>
      <c r="AY9" s="51">
        <v>0</v>
      </c>
      <c r="AZ9" s="52">
        <v>0</v>
      </c>
      <c r="BA9" s="51">
        <v>0</v>
      </c>
      <c r="BB9" s="53">
        <f t="shared" si="2"/>
        <v>0</v>
      </c>
    </row>
    <row r="10" spans="19:54" s="34" customFormat="1" ht="48" customHeight="1" thickBot="1">
      <c r="S10" s="12">
        <v>4</v>
      </c>
      <c r="T10" s="243" t="s">
        <v>5</v>
      </c>
      <c r="U10" s="35"/>
      <c r="V10" s="125"/>
      <c r="W10" s="125"/>
      <c r="X10" s="36"/>
      <c r="Y10" s="36"/>
      <c r="Z10" s="37">
        <f t="shared" si="0"/>
        <v>0</v>
      </c>
      <c r="AA10" s="38"/>
      <c r="AB10" s="39"/>
      <c r="AC10" s="147"/>
      <c r="AD10" s="101"/>
      <c r="AE10" s="41"/>
      <c r="AF10" s="42"/>
      <c r="AG10" s="42"/>
      <c r="AH10" s="42"/>
      <c r="AI10" s="42"/>
      <c r="AJ10" s="43"/>
      <c r="AK10" s="44"/>
      <c r="AL10" s="45"/>
      <c r="AM10" s="45"/>
      <c r="AN10" s="45"/>
      <c r="AO10" s="45"/>
      <c r="AP10" s="45"/>
      <c r="AQ10" s="45"/>
      <c r="AR10" s="46"/>
      <c r="AS10" s="47"/>
      <c r="AT10" s="35"/>
      <c r="AU10" s="35"/>
      <c r="AV10" s="35"/>
      <c r="AW10" s="48"/>
      <c r="AX10" s="49">
        <f t="shared" si="1"/>
        <v>0</v>
      </c>
      <c r="AY10" s="51">
        <v>0</v>
      </c>
      <c r="AZ10" s="52">
        <v>0</v>
      </c>
      <c r="BA10" s="51">
        <v>0</v>
      </c>
      <c r="BB10" s="53">
        <f t="shared" si="2"/>
        <v>0</v>
      </c>
    </row>
    <row r="11" spans="19:54" s="34" customFormat="1" ht="48" customHeight="1" thickBot="1">
      <c r="S11" s="12">
        <v>5</v>
      </c>
      <c r="T11" s="243"/>
      <c r="U11" s="35"/>
      <c r="V11" s="125"/>
      <c r="W11" s="125"/>
      <c r="X11" s="36"/>
      <c r="Y11" s="120"/>
      <c r="Z11" s="37">
        <f t="shared" si="0"/>
        <v>0</v>
      </c>
      <c r="AA11" s="38"/>
      <c r="AB11" s="39"/>
      <c r="AC11" s="147"/>
      <c r="AD11" s="101"/>
      <c r="AE11" s="41"/>
      <c r="AF11" s="42"/>
      <c r="AG11" s="42"/>
      <c r="AH11" s="42"/>
      <c r="AI11" s="42"/>
      <c r="AJ11" s="43"/>
      <c r="AK11" s="44"/>
      <c r="AL11" s="45"/>
      <c r="AM11" s="45"/>
      <c r="AN11" s="45"/>
      <c r="AO11" s="45"/>
      <c r="AP11" s="45"/>
      <c r="AQ11" s="45"/>
      <c r="AR11" s="46"/>
      <c r="AS11" s="47"/>
      <c r="AT11" s="35"/>
      <c r="AU11" s="35"/>
      <c r="AV11" s="35"/>
      <c r="AW11" s="48"/>
      <c r="AX11" s="49">
        <f t="shared" si="1"/>
        <v>0</v>
      </c>
      <c r="AY11" s="50">
        <v>0</v>
      </c>
      <c r="AZ11" s="51">
        <v>0</v>
      </c>
      <c r="BA11" s="52">
        <v>0</v>
      </c>
      <c r="BB11" s="53">
        <f t="shared" si="2"/>
        <v>0</v>
      </c>
    </row>
    <row r="12" spans="19:54" s="34" customFormat="1" ht="48" customHeight="1" thickBot="1">
      <c r="S12" s="12">
        <v>10</v>
      </c>
      <c r="T12" s="243"/>
      <c r="U12" s="13"/>
      <c r="V12" s="14"/>
      <c r="W12" s="14"/>
      <c r="X12" s="54"/>
      <c r="Y12" s="54"/>
      <c r="Z12" s="55">
        <f t="shared" si="0"/>
        <v>0</v>
      </c>
      <c r="AA12" s="19"/>
      <c r="AB12" s="20"/>
      <c r="AC12" s="149"/>
      <c r="AD12" s="100"/>
      <c r="AE12" s="22"/>
      <c r="AF12" s="23"/>
      <c r="AG12" s="23"/>
      <c r="AH12" s="23"/>
      <c r="AI12" s="23"/>
      <c r="AJ12" s="24"/>
      <c r="AK12" s="25"/>
      <c r="AL12" s="26"/>
      <c r="AM12" s="26"/>
      <c r="AN12" s="26"/>
      <c r="AO12" s="26"/>
      <c r="AP12" s="26"/>
      <c r="AQ12" s="26"/>
      <c r="AR12" s="27"/>
      <c r="AS12" s="28"/>
      <c r="AT12" s="13"/>
      <c r="AU12" s="13"/>
      <c r="AV12" s="13"/>
      <c r="AW12" s="29"/>
      <c r="AX12" s="30">
        <f t="shared" si="1"/>
        <v>0</v>
      </c>
      <c r="AY12" s="31">
        <v>0</v>
      </c>
      <c r="AZ12" s="32">
        <v>0</v>
      </c>
      <c r="BA12" s="31">
        <v>0</v>
      </c>
      <c r="BB12" s="56">
        <f t="shared" si="2"/>
        <v>0</v>
      </c>
    </row>
    <row r="13" spans="19:54" s="34" customFormat="1" ht="48" customHeight="1" thickBot="1">
      <c r="S13" s="12">
        <v>11</v>
      </c>
      <c r="T13" s="244" t="s">
        <v>65</v>
      </c>
      <c r="U13" s="35"/>
      <c r="V13" s="125"/>
      <c r="W13" s="125"/>
      <c r="X13" s="36"/>
      <c r="Y13" s="36"/>
      <c r="Z13" s="37">
        <f t="shared" si="0"/>
        <v>0</v>
      </c>
      <c r="AA13" s="38"/>
      <c r="AB13" s="39"/>
      <c r="AC13" s="147"/>
      <c r="AD13" s="101"/>
      <c r="AE13" s="41"/>
      <c r="AF13" s="42"/>
      <c r="AG13" s="42"/>
      <c r="AH13" s="42"/>
      <c r="AI13" s="42"/>
      <c r="AJ13" s="43"/>
      <c r="AK13" s="44"/>
      <c r="AL13" s="45"/>
      <c r="AM13" s="45"/>
      <c r="AN13" s="45"/>
      <c r="AO13" s="45"/>
      <c r="AP13" s="45"/>
      <c r="AQ13" s="45"/>
      <c r="AR13" s="46"/>
      <c r="AS13" s="47"/>
      <c r="AT13" s="35"/>
      <c r="AU13" s="35"/>
      <c r="AV13" s="35"/>
      <c r="AW13" s="48"/>
      <c r="AX13" s="49">
        <f t="shared" si="1"/>
        <v>0</v>
      </c>
      <c r="AY13" s="50">
        <v>0</v>
      </c>
      <c r="AZ13" s="51">
        <v>0</v>
      </c>
      <c r="BA13" s="52">
        <v>0</v>
      </c>
      <c r="BB13" s="57">
        <f t="shared" si="2"/>
        <v>0</v>
      </c>
    </row>
    <row r="14" spans="19:54" s="34" customFormat="1" ht="48" customHeight="1" thickBot="1">
      <c r="S14" s="12">
        <v>12</v>
      </c>
      <c r="T14" s="244"/>
      <c r="U14" s="35"/>
      <c r="V14" s="125"/>
      <c r="W14" s="125"/>
      <c r="X14" s="36"/>
      <c r="Y14" s="36"/>
      <c r="Z14" s="37">
        <f t="shared" si="0"/>
        <v>0</v>
      </c>
      <c r="AA14" s="38"/>
      <c r="AB14" s="39"/>
      <c r="AC14" s="147"/>
      <c r="AD14" s="101"/>
      <c r="AE14" s="41"/>
      <c r="AF14" s="42"/>
      <c r="AG14" s="42"/>
      <c r="AH14" s="42"/>
      <c r="AI14" s="42"/>
      <c r="AJ14" s="43"/>
      <c r="AK14" s="44"/>
      <c r="AL14" s="45"/>
      <c r="AM14" s="45"/>
      <c r="AN14" s="45"/>
      <c r="AO14" s="45"/>
      <c r="AP14" s="45"/>
      <c r="AQ14" s="45"/>
      <c r="AR14" s="46"/>
      <c r="AS14" s="47"/>
      <c r="AT14" s="35"/>
      <c r="AU14" s="35"/>
      <c r="AV14" s="35"/>
      <c r="AW14" s="48"/>
      <c r="AX14" s="49">
        <f t="shared" si="1"/>
        <v>0</v>
      </c>
      <c r="AY14" s="51">
        <v>0</v>
      </c>
      <c r="AZ14" s="52">
        <v>0</v>
      </c>
      <c r="BA14" s="51">
        <v>0</v>
      </c>
      <c r="BB14" s="57">
        <f t="shared" si="2"/>
        <v>0</v>
      </c>
    </row>
    <row r="15" spans="19:54" s="34" customFormat="1" ht="48" customHeight="1" thickBot="1">
      <c r="S15" s="12">
        <v>13</v>
      </c>
      <c r="T15" s="245"/>
      <c r="U15" s="58"/>
      <c r="V15" s="59"/>
      <c r="W15" s="59"/>
      <c r="X15" s="60"/>
      <c r="Y15" s="60"/>
      <c r="Z15" s="61">
        <f t="shared" si="0"/>
        <v>0</v>
      </c>
      <c r="AA15" s="62"/>
      <c r="AB15" s="63"/>
      <c r="AC15" s="64"/>
      <c r="AD15" s="102"/>
      <c r="AE15" s="65"/>
      <c r="AF15" s="66"/>
      <c r="AG15" s="67"/>
      <c r="AH15" s="67"/>
      <c r="AI15" s="67"/>
      <c r="AJ15" s="66"/>
      <c r="AK15" s="68"/>
      <c r="AL15" s="69"/>
      <c r="AM15" s="69"/>
      <c r="AN15" s="69"/>
      <c r="AO15" s="69"/>
      <c r="AP15" s="69"/>
      <c r="AQ15" s="69"/>
      <c r="AR15" s="70"/>
      <c r="AS15" s="71"/>
      <c r="AT15" s="35"/>
      <c r="AU15" s="35"/>
      <c r="AV15" s="35"/>
      <c r="AW15" s="48"/>
      <c r="AX15" s="49">
        <f t="shared" si="1"/>
        <v>0</v>
      </c>
      <c r="AY15" s="50">
        <v>0</v>
      </c>
      <c r="AZ15" s="51">
        <v>0</v>
      </c>
      <c r="BA15" s="52">
        <v>0</v>
      </c>
      <c r="BB15" s="57">
        <f t="shared" si="2"/>
        <v>0</v>
      </c>
    </row>
    <row r="16" spans="19:54" s="72" customFormat="1" ht="50.1" customHeight="1">
      <c r="S16" s="254" t="s">
        <v>42</v>
      </c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5" t="s">
        <v>53</v>
      </c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6" t="s">
        <v>43</v>
      </c>
      <c r="AU16" s="257"/>
      <c r="AV16" s="257"/>
      <c r="AW16" s="257"/>
      <c r="AX16" s="257"/>
      <c r="AY16" s="257"/>
      <c r="AZ16" s="257"/>
      <c r="BA16" s="257"/>
      <c r="BB16" s="258"/>
    </row>
    <row r="17" spans="18:62" s="72" customFormat="1" ht="60" customHeight="1">
      <c r="S17" s="73" t="s">
        <v>15</v>
      </c>
      <c r="T17" s="300" t="s">
        <v>44</v>
      </c>
      <c r="U17" s="301"/>
      <c r="V17" s="302" t="s">
        <v>45</v>
      </c>
      <c r="W17" s="303"/>
      <c r="X17" s="74" t="s">
        <v>46</v>
      </c>
      <c r="Y17" s="75" t="s">
        <v>67</v>
      </c>
      <c r="Z17" s="304" t="s">
        <v>47</v>
      </c>
      <c r="AA17" s="304"/>
      <c r="AB17" s="304"/>
      <c r="AC17" s="304"/>
      <c r="AD17" s="304"/>
      <c r="AE17" s="304"/>
      <c r="AF17" s="304"/>
      <c r="AG17" s="305" t="s">
        <v>48</v>
      </c>
      <c r="AH17" s="306"/>
      <c r="AI17" s="307" t="s">
        <v>49</v>
      </c>
      <c r="AJ17" s="307"/>
      <c r="AK17" s="92"/>
      <c r="AL17" s="308" t="s">
        <v>68</v>
      </c>
      <c r="AM17" s="309"/>
      <c r="AN17" s="310"/>
      <c r="AO17" s="288" t="s">
        <v>50</v>
      </c>
      <c r="AP17" s="289"/>
      <c r="AQ17" s="289"/>
      <c r="AR17" s="289"/>
      <c r="AS17" s="289"/>
      <c r="AT17" s="76" t="s">
        <v>51</v>
      </c>
      <c r="AU17" s="290" t="s">
        <v>33</v>
      </c>
      <c r="AV17" s="291"/>
      <c r="AW17" s="77" t="s">
        <v>34</v>
      </c>
      <c r="AX17" s="77" t="s">
        <v>66</v>
      </c>
      <c r="AY17" s="77" t="s">
        <v>35</v>
      </c>
      <c r="AZ17" s="77" t="s">
        <v>36</v>
      </c>
      <c r="BA17" s="292" t="s">
        <v>52</v>
      </c>
      <c r="BB17" s="293"/>
    </row>
    <row r="18" spans="18:62" ht="60.75" customHeight="1">
      <c r="S18" s="78">
        <v>1</v>
      </c>
      <c r="T18" s="294"/>
      <c r="U18" s="295"/>
      <c r="V18" s="280"/>
      <c r="W18" s="281"/>
      <c r="X18" s="79" t="str">
        <f>TEXT(MOD(V18-T18,1),"h:mm")</f>
        <v>0:00</v>
      </c>
      <c r="Y18" s="80"/>
      <c r="Z18" s="282"/>
      <c r="AA18" s="282"/>
      <c r="AB18" s="282"/>
      <c r="AC18" s="282"/>
      <c r="AD18" s="282"/>
      <c r="AE18" s="282"/>
      <c r="AF18" s="282"/>
      <c r="AG18" s="296">
        <f>SUM(AX7:AX9)</f>
        <v>0</v>
      </c>
      <c r="AH18" s="297"/>
      <c r="AI18" s="298">
        <f>SUM(AX10:AX12)</f>
        <v>0</v>
      </c>
      <c r="AJ18" s="298"/>
      <c r="AK18" s="93"/>
      <c r="AL18" s="298">
        <f>SUM(AX13:AX15)</f>
        <v>0</v>
      </c>
      <c r="AM18" s="298"/>
      <c r="AN18" s="298"/>
      <c r="AO18" s="299">
        <f>SUM(AG18:AN18)</f>
        <v>0</v>
      </c>
      <c r="AP18" s="299"/>
      <c r="AQ18" s="299"/>
      <c r="AR18" s="299"/>
      <c r="AS18" s="299"/>
      <c r="AT18" s="81" t="s">
        <v>1</v>
      </c>
      <c r="AU18" s="276">
        <f>SUM(AS7:AS9)</f>
        <v>0</v>
      </c>
      <c r="AV18" s="277"/>
      <c r="AW18" s="82">
        <f>SUM(AT7:AT9)</f>
        <v>0</v>
      </c>
      <c r="AX18" s="82">
        <f>SUM(AV7:AV9)</f>
        <v>0</v>
      </c>
      <c r="AY18" s="82">
        <f>SUM(AU7:AU9)</f>
        <v>0</v>
      </c>
      <c r="AZ18" s="82">
        <f>SUM(AW7:AW9)</f>
        <v>0</v>
      </c>
      <c r="BA18" s="276">
        <f>SUM(AU18:AZ18)</f>
        <v>0</v>
      </c>
      <c r="BB18" s="277"/>
    </row>
    <row r="19" spans="18:62" ht="60.75" customHeight="1">
      <c r="S19" s="78">
        <v>2</v>
      </c>
      <c r="T19" s="278"/>
      <c r="U19" s="279"/>
      <c r="V19" s="280"/>
      <c r="W19" s="281"/>
      <c r="X19" s="79" t="str">
        <f>TEXT(MOD(V19-T19,1),"h:mm")</f>
        <v>0:00</v>
      </c>
      <c r="Y19" s="80"/>
      <c r="Z19" s="282"/>
      <c r="AA19" s="282"/>
      <c r="AB19" s="282"/>
      <c r="AC19" s="282"/>
      <c r="AD19" s="282"/>
      <c r="AE19" s="282"/>
      <c r="AF19" s="282"/>
      <c r="AG19" s="283" t="s">
        <v>41</v>
      </c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5"/>
      <c r="AT19" s="83" t="s">
        <v>5</v>
      </c>
      <c r="AU19" s="286">
        <f>SUM(AS10:AS12)</f>
        <v>0</v>
      </c>
      <c r="AV19" s="287"/>
      <c r="AW19" s="84">
        <f>SUM(AT10:AT12)</f>
        <v>0</v>
      </c>
      <c r="AX19" s="84">
        <f>SUM(AV10:AV12)</f>
        <v>0</v>
      </c>
      <c r="AY19" s="84">
        <f>SUM(AU10:AU12)</f>
        <v>0</v>
      </c>
      <c r="AZ19" s="84">
        <f>SUM(AW10:AW12)</f>
        <v>0</v>
      </c>
      <c r="BA19" s="286">
        <f>SUM(AU19:AZ19)</f>
        <v>0</v>
      </c>
      <c r="BB19" s="287"/>
    </row>
    <row r="20" spans="18:62" ht="60.75" customHeight="1">
      <c r="S20" s="78">
        <v>3</v>
      </c>
      <c r="T20" s="278"/>
      <c r="U20" s="279"/>
      <c r="V20" s="280"/>
      <c r="W20" s="281"/>
      <c r="X20" s="79" t="str">
        <f>TEXT(MOD(V20-T20,1),"h:mm")</f>
        <v>0:00</v>
      </c>
      <c r="Y20" s="80"/>
      <c r="Z20" s="327"/>
      <c r="AA20" s="327"/>
      <c r="AB20" s="327"/>
      <c r="AC20" s="327"/>
      <c r="AD20" s="327"/>
      <c r="AE20" s="327"/>
      <c r="AF20" s="327"/>
      <c r="AG20" s="311">
        <f>SUM(BB7:BB9)</f>
        <v>0</v>
      </c>
      <c r="AH20" s="328"/>
      <c r="AI20" s="311">
        <f>SUM(BB10:BB12)</f>
        <v>0</v>
      </c>
      <c r="AJ20" s="328"/>
      <c r="AK20" s="94"/>
      <c r="AL20" s="311">
        <f>SUM(BB13:BB15)</f>
        <v>0</v>
      </c>
      <c r="AM20" s="329"/>
      <c r="AN20" s="328"/>
      <c r="AO20" s="311">
        <f>SUM(AG20:AN20)</f>
        <v>0</v>
      </c>
      <c r="AP20" s="312"/>
      <c r="AQ20" s="312"/>
      <c r="AR20" s="312"/>
      <c r="AS20" s="313"/>
      <c r="AT20" s="91" t="s">
        <v>65</v>
      </c>
      <c r="AU20" s="314">
        <f>SUM(AS13:AS15)</f>
        <v>0</v>
      </c>
      <c r="AV20" s="315"/>
      <c r="AW20" s="99">
        <f>SUM(AT13:AT15)</f>
        <v>0</v>
      </c>
      <c r="AX20" s="99">
        <f>SUM(AV13:AV15)</f>
        <v>0</v>
      </c>
      <c r="AY20" s="99">
        <f>SUM(AU13:AU15)</f>
        <v>0</v>
      </c>
      <c r="AZ20" s="99">
        <f>SUM(AW13:AW15)</f>
        <v>0</v>
      </c>
      <c r="BA20" s="316">
        <f>SUM(AU20:AZ20)</f>
        <v>0</v>
      </c>
      <c r="BB20" s="317"/>
    </row>
    <row r="21" spans="18:62" ht="60.75" customHeight="1">
      <c r="S21" s="78">
        <v>4</v>
      </c>
      <c r="T21" s="278"/>
      <c r="U21" s="279"/>
      <c r="V21" s="280"/>
      <c r="W21" s="281"/>
      <c r="X21" s="79" t="str">
        <f>TEXT(MOD(V21-T21,1),"h:mm")</f>
        <v>0:00</v>
      </c>
      <c r="Y21" s="80"/>
      <c r="Z21" s="318"/>
      <c r="AA21" s="318"/>
      <c r="AB21" s="318"/>
      <c r="AC21" s="318"/>
      <c r="AD21" s="318"/>
      <c r="AE21" s="318"/>
      <c r="AF21" s="318"/>
      <c r="AG21" s="319" t="s">
        <v>54</v>
      </c>
      <c r="AH21" s="320"/>
      <c r="AI21" s="320"/>
      <c r="AJ21" s="320"/>
      <c r="AK21" s="320"/>
      <c r="AL21" s="320"/>
      <c r="AM21" s="320"/>
      <c r="AN21" s="320"/>
      <c r="AO21" s="320"/>
      <c r="AP21" s="320"/>
      <c r="AQ21" s="320"/>
      <c r="AR21" s="320"/>
      <c r="AS21" s="321"/>
      <c r="AT21" s="322" t="s">
        <v>55</v>
      </c>
      <c r="AU21" s="323"/>
      <c r="AV21" s="324"/>
      <c r="AW21" s="325">
        <v>1680</v>
      </c>
      <c r="AX21" s="326"/>
      <c r="AY21" s="322" t="s">
        <v>56</v>
      </c>
      <c r="AZ21" s="324"/>
      <c r="BA21" s="330">
        <v>1628</v>
      </c>
      <c r="BB21" s="331"/>
    </row>
    <row r="22" spans="18:62" ht="54" customHeight="1">
      <c r="S22" s="78">
        <v>5</v>
      </c>
      <c r="T22" s="278"/>
      <c r="U22" s="279"/>
      <c r="V22" s="280"/>
      <c r="W22" s="281"/>
      <c r="X22" s="79" t="str">
        <f>TEXT(MOD(V22-T22,1),"h:mm")</f>
        <v>0:00</v>
      </c>
      <c r="Y22" s="80"/>
      <c r="Z22" s="318"/>
      <c r="AA22" s="318"/>
      <c r="AB22" s="318"/>
      <c r="AC22" s="318"/>
      <c r="AD22" s="318"/>
      <c r="AE22" s="318"/>
      <c r="AF22" s="318"/>
      <c r="AG22" s="357">
        <f>SUM(AY7:BA9)</f>
        <v>0</v>
      </c>
      <c r="AH22" s="357"/>
      <c r="AI22" s="298">
        <f>SUM(AY10:BA12)</f>
        <v>0</v>
      </c>
      <c r="AJ22" s="298"/>
      <c r="AK22" s="95"/>
      <c r="AL22" s="358">
        <f>SUM(AY13:BA15)</f>
        <v>0</v>
      </c>
      <c r="AM22" s="358"/>
      <c r="AN22" s="359"/>
      <c r="AO22" s="360">
        <f>SUM(AG22:AN22)</f>
        <v>0</v>
      </c>
      <c r="AP22" s="361"/>
      <c r="AQ22" s="361"/>
      <c r="AR22" s="361"/>
      <c r="AS22" s="362"/>
      <c r="AT22" s="98" t="s">
        <v>69</v>
      </c>
      <c r="AU22" s="363" t="s">
        <v>48</v>
      </c>
      <c r="AV22" s="364"/>
      <c r="AW22" s="365" t="s">
        <v>49</v>
      </c>
      <c r="AX22" s="366"/>
      <c r="AY22" s="332" t="s">
        <v>68</v>
      </c>
      <c r="AZ22" s="333"/>
      <c r="BA22" s="334" t="s">
        <v>57</v>
      </c>
      <c r="BB22" s="335"/>
    </row>
    <row r="23" spans="18:62" ht="59.25" customHeight="1">
      <c r="S23" s="336" t="s">
        <v>61</v>
      </c>
      <c r="T23" s="337"/>
      <c r="U23" s="337"/>
      <c r="V23" s="337"/>
      <c r="W23" s="338"/>
      <c r="X23" s="85">
        <f>SUM(X18+X19+X20+X21+X22)</f>
        <v>0</v>
      </c>
      <c r="Y23" s="126" t="s">
        <v>62</v>
      </c>
      <c r="Z23" s="86"/>
      <c r="AA23" s="87"/>
      <c r="AB23" s="87"/>
      <c r="AC23" s="339" t="s">
        <v>63</v>
      </c>
      <c r="AD23" s="339"/>
      <c r="AE23" s="340"/>
      <c r="AF23" s="341"/>
      <c r="AG23" s="342" t="s">
        <v>22</v>
      </c>
      <c r="AH23" s="343"/>
      <c r="AI23" s="344"/>
      <c r="AJ23" s="345" t="s">
        <v>48</v>
      </c>
      <c r="AK23" s="346"/>
      <c r="AL23" s="346"/>
      <c r="AM23" s="347"/>
      <c r="AN23" s="348" t="s">
        <v>49</v>
      </c>
      <c r="AO23" s="348"/>
      <c r="AP23" s="348"/>
      <c r="AQ23" s="349" t="s">
        <v>68</v>
      </c>
      <c r="AR23" s="350"/>
      <c r="AS23" s="351"/>
      <c r="AT23" s="96" t="s">
        <v>60</v>
      </c>
      <c r="AU23" s="352">
        <f>SUM(AQ7:AQ9)</f>
        <v>0</v>
      </c>
      <c r="AV23" s="353"/>
      <c r="AW23" s="352">
        <f>SUM(AQ10:AQ12)</f>
        <v>0</v>
      </c>
      <c r="AX23" s="354"/>
      <c r="AY23" s="352">
        <f>SUM(AQ13:AQ15)</f>
        <v>0</v>
      </c>
      <c r="AZ23" s="353"/>
      <c r="BA23" s="355">
        <f>SUM(AU23:AZ23)</f>
        <v>0</v>
      </c>
      <c r="BB23" s="356"/>
    </row>
    <row r="24" spans="18:62" ht="57" customHeight="1">
      <c r="S24" s="367"/>
      <c r="T24" s="368"/>
      <c r="U24" s="368"/>
      <c r="V24" s="368"/>
      <c r="W24" s="369"/>
      <c r="X24" s="373" t="s">
        <v>73</v>
      </c>
      <c r="Y24" s="104" t="s">
        <v>70</v>
      </c>
      <c r="Z24" s="105" t="s">
        <v>71</v>
      </c>
      <c r="AA24" s="103"/>
      <c r="AB24" s="103"/>
      <c r="AC24" s="375" t="s">
        <v>72</v>
      </c>
      <c r="AD24" s="376"/>
      <c r="AE24" s="377" t="s">
        <v>57</v>
      </c>
      <c r="AF24" s="378"/>
      <c r="AG24" s="379" t="s">
        <v>58</v>
      </c>
      <c r="AH24" s="380"/>
      <c r="AI24" s="381"/>
      <c r="AJ24" s="382">
        <f>AVERAGE(Z7:Z9)</f>
        <v>0</v>
      </c>
      <c r="AK24" s="383"/>
      <c r="AL24" s="383"/>
      <c r="AM24" s="383"/>
      <c r="AN24" s="382">
        <f>AVERAGE(Z10:Z11)</f>
        <v>0</v>
      </c>
      <c r="AO24" s="383"/>
      <c r="AP24" s="383"/>
      <c r="AQ24" s="382">
        <f>AVERAGE(Z13:Z15)</f>
        <v>0</v>
      </c>
      <c r="AR24" s="383"/>
      <c r="AS24" s="383"/>
      <c r="AT24" s="97" t="s">
        <v>64</v>
      </c>
      <c r="AU24" s="387">
        <f>SUM(AL7:AP9)</f>
        <v>0</v>
      </c>
      <c r="AV24" s="388"/>
      <c r="AW24" s="387">
        <f>SUM(AL10:AP12)</f>
        <v>0</v>
      </c>
      <c r="AX24" s="388"/>
      <c r="AY24" s="387">
        <f>SUM(AL13:AP15)</f>
        <v>0</v>
      </c>
      <c r="AZ24" s="388"/>
      <c r="BA24" s="389">
        <f>SUM(AU24:AZ24)</f>
        <v>0</v>
      </c>
      <c r="BB24" s="390"/>
    </row>
    <row r="25" spans="18:62" ht="52.5" customHeight="1">
      <c r="S25" s="370"/>
      <c r="T25" s="371"/>
      <c r="U25" s="371"/>
      <c r="V25" s="371"/>
      <c r="W25" s="372"/>
      <c r="X25" s="374"/>
      <c r="Y25" s="106">
        <f>SUM(AD7:AD9)</f>
        <v>0</v>
      </c>
      <c r="Z25" s="106">
        <f>SUM(AD10:AD12)</f>
        <v>0</v>
      </c>
      <c r="AA25" s="107"/>
      <c r="AB25" s="107"/>
      <c r="AC25" s="391">
        <f>SUM(AD13:AD15)</f>
        <v>0</v>
      </c>
      <c r="AD25" s="392"/>
      <c r="AE25" s="393">
        <f>SUM(Y25:AD25)</f>
        <v>0</v>
      </c>
      <c r="AF25" s="394"/>
      <c r="AG25" s="379" t="s">
        <v>59</v>
      </c>
      <c r="AH25" s="380"/>
      <c r="AI25" s="381"/>
      <c r="AJ25" s="382">
        <f>SUM(Z7:Z9)</f>
        <v>0</v>
      </c>
      <c r="AK25" s="383"/>
      <c r="AL25" s="383"/>
      <c r="AM25" s="383"/>
      <c r="AN25" s="382">
        <f>SUM(Z10:Z12)</f>
        <v>0</v>
      </c>
      <c r="AO25" s="383"/>
      <c r="AP25" s="383"/>
      <c r="AQ25" s="382">
        <f>SUM(Z13:Z15)</f>
        <v>0</v>
      </c>
      <c r="AR25" s="383"/>
      <c r="AS25" s="383"/>
      <c r="AT25" s="384"/>
      <c r="AU25" s="385"/>
      <c r="AV25" s="385"/>
      <c r="AW25" s="385"/>
      <c r="AX25" s="385"/>
      <c r="AY25" s="385"/>
      <c r="AZ25" s="385"/>
      <c r="BA25" s="385"/>
      <c r="BB25" s="386"/>
    </row>
    <row r="26" spans="18:62" ht="60.75" customHeight="1"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8:62" ht="30" customHeight="1"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8:62" ht="30" customHeight="1"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T28" s="4"/>
      <c r="AU28" s="4"/>
      <c r="AV28" s="4"/>
      <c r="AW28" s="4"/>
      <c r="AX28" s="4"/>
      <c r="AY28" s="4"/>
      <c r="AZ28" s="4"/>
      <c r="BA28" s="4"/>
    </row>
    <row r="29" spans="18:62" ht="30" customHeight="1"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T29" s="4"/>
      <c r="AU29" s="4"/>
      <c r="AV29" s="4"/>
      <c r="AW29" s="4"/>
      <c r="AX29" s="4"/>
      <c r="AY29" s="4"/>
      <c r="AZ29" s="4"/>
      <c r="BA29" s="4"/>
    </row>
    <row r="30" spans="18:62" ht="30" customHeight="1">
      <c r="R30" s="3"/>
      <c r="S30" s="3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T30" s="4"/>
      <c r="AU30" s="4"/>
      <c r="AV30" s="4"/>
      <c r="AW30" s="4"/>
      <c r="AX30" s="4"/>
      <c r="AY30" s="4"/>
      <c r="AZ30" s="4"/>
      <c r="BA30" s="4"/>
    </row>
    <row r="31" spans="18:62" ht="30" customHeight="1">
      <c r="R31" s="3"/>
      <c r="S31" s="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T31" s="4"/>
      <c r="AU31" s="4"/>
      <c r="AV31" s="4"/>
      <c r="AW31" s="4"/>
      <c r="AX31" s="4"/>
      <c r="AY31" s="4"/>
      <c r="AZ31" s="4"/>
      <c r="BA31" s="4"/>
    </row>
    <row r="32" spans="18:62" ht="15" customHeight="1">
      <c r="S32" s="3"/>
      <c r="BJ32" s="4">
        <v>8</v>
      </c>
    </row>
  </sheetData>
  <mergeCells count="145">
    <mergeCell ref="S1:W3"/>
    <mergeCell ref="X1:Y3"/>
    <mergeCell ref="AC1:AE1"/>
    <mergeCell ref="AF1:AH1"/>
    <mergeCell ref="AI1:AL1"/>
    <mergeCell ref="AM1:AP1"/>
    <mergeCell ref="AF3:AH3"/>
    <mergeCell ref="AI3:AL3"/>
    <mergeCell ref="AM3:AP3"/>
    <mergeCell ref="AQ1:AT1"/>
    <mergeCell ref="AU1:AW1"/>
    <mergeCell ref="AF5:AF6"/>
    <mergeCell ref="AG5:AG6"/>
    <mergeCell ref="AX1:BB3"/>
    <mergeCell ref="AC2:AE2"/>
    <mergeCell ref="AF2:AH2"/>
    <mergeCell ref="AI2:AL2"/>
    <mergeCell ref="AM2:AP2"/>
    <mergeCell ref="AQ2:AT2"/>
    <mergeCell ref="AU2:AW2"/>
    <mergeCell ref="AC3:AE3"/>
    <mergeCell ref="AQ3:AT3"/>
    <mergeCell ref="AU3:AW3"/>
    <mergeCell ref="AX4:BB4"/>
    <mergeCell ref="BA5:BA6"/>
    <mergeCell ref="BB5:BB6"/>
    <mergeCell ref="S4:Z4"/>
    <mergeCell ref="AA4:AB4"/>
    <mergeCell ref="AC4:AD4"/>
    <mergeCell ref="AE4:AJ4"/>
    <mergeCell ref="AL4:AQ4"/>
    <mergeCell ref="AS4:AW4"/>
    <mergeCell ref="T7:T9"/>
    <mergeCell ref="T10:T12"/>
    <mergeCell ref="T13:T15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S16:AF16"/>
    <mergeCell ref="AG16:AS16"/>
    <mergeCell ref="AT16:BB16"/>
    <mergeCell ref="AU5:AU6"/>
    <mergeCell ref="AV5:AV6"/>
    <mergeCell ref="AW5:AW6"/>
    <mergeCell ref="AX5:AX6"/>
    <mergeCell ref="AY5:AY6"/>
    <mergeCell ref="AZ5:AZ6"/>
    <mergeCell ref="AH5:AH6"/>
    <mergeCell ref="AI5:AI6"/>
    <mergeCell ref="AJ5:AJ6"/>
    <mergeCell ref="AK5:AR5"/>
    <mergeCell ref="AS5:AS6"/>
    <mergeCell ref="AT5:AT6"/>
    <mergeCell ref="AB5:AB6"/>
    <mergeCell ref="AC5:AC6"/>
    <mergeCell ref="AD5:AD6"/>
    <mergeCell ref="AE5:AE6"/>
    <mergeCell ref="AU18:AV18"/>
    <mergeCell ref="BA18:BB18"/>
    <mergeCell ref="T19:U19"/>
    <mergeCell ref="V19:W19"/>
    <mergeCell ref="Z19:AF19"/>
    <mergeCell ref="AG19:AS19"/>
    <mergeCell ref="AU19:AV19"/>
    <mergeCell ref="BA19:BB19"/>
    <mergeCell ref="AO17:AS17"/>
    <mergeCell ref="AU17:AV17"/>
    <mergeCell ref="BA17:BB17"/>
    <mergeCell ref="T18:U18"/>
    <mergeCell ref="V18:W18"/>
    <mergeCell ref="Z18:AF18"/>
    <mergeCell ref="AG18:AH18"/>
    <mergeCell ref="AI18:AJ18"/>
    <mergeCell ref="AL18:AN18"/>
    <mergeCell ref="AO18:AS18"/>
    <mergeCell ref="T17:U17"/>
    <mergeCell ref="V17:W17"/>
    <mergeCell ref="Z17:AF17"/>
    <mergeCell ref="AG17:AH17"/>
    <mergeCell ref="AI17:AJ17"/>
    <mergeCell ref="AL17:AN17"/>
    <mergeCell ref="AO20:AS20"/>
    <mergeCell ref="AU20:AV20"/>
    <mergeCell ref="BA20:BB20"/>
    <mergeCell ref="T21:U21"/>
    <mergeCell ref="V21:W21"/>
    <mergeCell ref="Z21:AF21"/>
    <mergeCell ref="AG21:AS21"/>
    <mergeCell ref="AT21:AV21"/>
    <mergeCell ref="AW21:AX21"/>
    <mergeCell ref="AY21:AZ21"/>
    <mergeCell ref="T20:U20"/>
    <mergeCell ref="V20:W20"/>
    <mergeCell ref="Z20:AF20"/>
    <mergeCell ref="AG20:AH20"/>
    <mergeCell ref="AI20:AJ20"/>
    <mergeCell ref="AL20:AN20"/>
    <mergeCell ref="BA21:BB21"/>
    <mergeCell ref="AY22:AZ22"/>
    <mergeCell ref="BA22:BB22"/>
    <mergeCell ref="S23:W23"/>
    <mergeCell ref="AC23:AD23"/>
    <mergeCell ref="AE23:AF23"/>
    <mergeCell ref="AG23:AI23"/>
    <mergeCell ref="AJ23:AM23"/>
    <mergeCell ref="AN23:AP23"/>
    <mergeCell ref="AQ23:AS23"/>
    <mergeCell ref="AU23:AV23"/>
    <mergeCell ref="AW23:AX23"/>
    <mergeCell ref="AY23:AZ23"/>
    <mergeCell ref="BA23:BB23"/>
    <mergeCell ref="T22:U22"/>
    <mergeCell ref="V22:W22"/>
    <mergeCell ref="Z22:AF22"/>
    <mergeCell ref="AG22:AH22"/>
    <mergeCell ref="AI22:AJ22"/>
    <mergeCell ref="AL22:AN22"/>
    <mergeCell ref="AO22:AS22"/>
    <mergeCell ref="AU22:AV22"/>
    <mergeCell ref="AW22:AX22"/>
    <mergeCell ref="S24:W25"/>
    <mergeCell ref="X24:X25"/>
    <mergeCell ref="AC24:AD24"/>
    <mergeCell ref="AE24:AF24"/>
    <mergeCell ref="AG24:AI24"/>
    <mergeCell ref="AJ24:AM24"/>
    <mergeCell ref="AN24:AP24"/>
    <mergeCell ref="AQ25:AS25"/>
    <mergeCell ref="AT25:BB25"/>
    <mergeCell ref="AQ24:AS24"/>
    <mergeCell ref="AU24:AV24"/>
    <mergeCell ref="AW24:AX24"/>
    <mergeCell ref="AY24:AZ24"/>
    <mergeCell ref="BA24:BB24"/>
    <mergeCell ref="AC25:AD25"/>
    <mergeCell ref="AE25:AF25"/>
    <mergeCell ref="AG25:AI25"/>
    <mergeCell ref="AJ25:AM25"/>
    <mergeCell ref="AN25:AP25"/>
  </mergeCells>
  <conditionalFormatting sqref="Z7:Z15">
    <cfRule type="cellIs" dxfId="155" priority="3" operator="greaterThan">
      <formula>0.167361111111111</formula>
    </cfRule>
    <cfRule type="cellIs" dxfId="154" priority="4" operator="greaterThan">
      <formula>0.15625</formula>
    </cfRule>
  </conditionalFormatting>
  <conditionalFormatting sqref="AA7:AJ15">
    <cfRule type="cellIs" dxfId="153" priority="11" operator="between">
      <formula>1700</formula>
      <formula>1710</formula>
    </cfRule>
    <cfRule type="cellIs" dxfId="152" priority="12" operator="between">
      <formula>1691</formula>
      <formula>1700</formula>
    </cfRule>
  </conditionalFormatting>
  <conditionalFormatting sqref="AS7:AS15">
    <cfRule type="expression" dxfId="151" priority="13">
      <formula>IF(($AS7/$AX7)*1000&gt;$AY$1,1,0)</formula>
    </cfRule>
  </conditionalFormatting>
  <conditionalFormatting sqref="AT7:AW15">
    <cfRule type="cellIs" dxfId="150" priority="5" operator="greaterThan">
      <formula>10</formula>
    </cfRule>
  </conditionalFormatting>
  <conditionalFormatting sqref="AX7:AX15">
    <cfRule type="cellIs" dxfId="149" priority="2" operator="between">
      <formula>16000</formula>
      <formula>17200</formula>
    </cfRule>
    <cfRule type="cellIs" dxfId="148" priority="6" operator="lessThan">
      <formula>15800</formula>
    </cfRule>
    <cfRule type="cellIs" dxfId="147" priority="7" operator="greaterThan">
      <formula>18000</formula>
    </cfRule>
  </conditionalFormatting>
  <conditionalFormatting sqref="AZ7:BA15">
    <cfRule type="cellIs" dxfId="146" priority="10" operator="greaterThan">
      <formula>0</formula>
    </cfRule>
  </conditionalFormatting>
  <conditionalFormatting sqref="BB7:BB15">
    <cfRule type="cellIs" dxfId="145" priority="1" operator="between">
      <formula>16000</formula>
      <formula>17200</formula>
    </cfRule>
    <cfRule type="cellIs" dxfId="144" priority="8" operator="greaterThan">
      <formula>18000</formula>
    </cfRule>
    <cfRule type="cellIs" dxfId="143" priority="9" operator="lessThan">
      <formula>15800</formula>
    </cfRule>
  </conditionalFormatting>
  <printOptions horizontalCentered="1" verticalCentered="1"/>
  <pageMargins left="0" right="0" top="0" bottom="0.21" header="0" footer="0"/>
  <pageSetup paperSize="9" scale="42" orientation="landscape" cellComments="asDisplayed" r:id="rId1"/>
  <headerFooter differentFirst="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FEC02-6FE5-4CDA-818E-F97B23EA01FF}">
  <sheetPr>
    <tabColor theme="5"/>
    <pageSetUpPr fitToPage="1"/>
  </sheetPr>
  <dimension ref="R1:BJ32"/>
  <sheetViews>
    <sheetView showGridLines="0" rightToLeft="1" topLeftCell="T1" zoomScale="55" zoomScaleNormal="55" zoomScalePageLayoutView="40" workbookViewId="0">
      <selection activeCell="AP7" sqref="AP7"/>
    </sheetView>
  </sheetViews>
  <sheetFormatPr defaultColWidth="9.140625" defaultRowHeight="15"/>
  <cols>
    <col min="1" max="18" width="9.140625" style="4"/>
    <col min="19" max="19" width="5.7109375" style="4" customWidth="1"/>
    <col min="20" max="20" width="9.5703125" style="3" customWidth="1"/>
    <col min="21" max="21" width="10.7109375" style="3" customWidth="1"/>
    <col min="22" max="22" width="9.42578125" style="88" customWidth="1"/>
    <col min="23" max="23" width="8.85546875" style="88" customWidth="1"/>
    <col min="24" max="24" width="14.42578125" style="3" customWidth="1"/>
    <col min="25" max="25" width="14.7109375" style="3" customWidth="1"/>
    <col min="26" max="26" width="15.140625" style="88" customWidth="1"/>
    <col min="27" max="27" width="9.5703125" style="3" hidden="1" customWidth="1"/>
    <col min="28" max="28" width="10" style="3" hidden="1" customWidth="1"/>
    <col min="29" max="29" width="8.140625" style="3" customWidth="1"/>
    <col min="30" max="30" width="8.5703125" style="3" customWidth="1"/>
    <col min="31" max="31" width="12.42578125" style="3" customWidth="1"/>
    <col min="32" max="32" width="10.5703125" style="3" customWidth="1"/>
    <col min="33" max="33" width="9.5703125" style="3" customWidth="1"/>
    <col min="34" max="34" width="11.42578125" style="3" customWidth="1"/>
    <col min="35" max="35" width="9.42578125" style="3" customWidth="1"/>
    <col min="36" max="36" width="9.28515625" style="3" customWidth="1"/>
    <col min="37" max="37" width="6.7109375" style="3" hidden="1" customWidth="1"/>
    <col min="38" max="42" width="6.7109375" style="3" customWidth="1"/>
    <col min="43" max="43" width="8.140625" style="3" customWidth="1"/>
    <col min="44" max="44" width="6.7109375" style="3" hidden="1" customWidth="1"/>
    <col min="45" max="45" width="10.42578125" style="3" customWidth="1"/>
    <col min="46" max="46" width="8.7109375" style="3" customWidth="1"/>
    <col min="47" max="47" width="8.5703125" style="3" customWidth="1"/>
    <col min="48" max="48" width="8.7109375" style="3" customWidth="1"/>
    <col min="49" max="49" width="9.5703125" style="3" customWidth="1"/>
    <col min="50" max="50" width="12.42578125" style="88" customWidth="1"/>
    <col min="51" max="51" width="11.85546875" style="3" customWidth="1"/>
    <col min="52" max="52" width="11.5703125" style="3" customWidth="1"/>
    <col min="53" max="53" width="13.42578125" style="3" customWidth="1"/>
    <col min="54" max="54" width="13.5703125" style="4" customWidth="1"/>
    <col min="55" max="57" width="9.140625" style="4"/>
    <col min="58" max="58" width="25" style="4" customWidth="1"/>
    <col min="59" max="61" width="9.140625" style="4"/>
    <col min="62" max="62" width="23.5703125" style="4" customWidth="1"/>
    <col min="63" max="16384" width="9.140625" style="4"/>
  </cols>
  <sheetData>
    <row r="1" spans="19:54" ht="36.75" customHeight="1" thickBot="1">
      <c r="S1" s="180"/>
      <c r="T1" s="181"/>
      <c r="U1" s="181"/>
      <c r="V1" s="181"/>
      <c r="W1" s="181"/>
      <c r="X1" s="182" t="s">
        <v>0</v>
      </c>
      <c r="Y1" s="183"/>
      <c r="Z1" s="1" t="s">
        <v>1</v>
      </c>
      <c r="AA1" s="2"/>
      <c r="AC1" s="188" t="s">
        <v>2</v>
      </c>
      <c r="AD1" s="189"/>
      <c r="AE1" s="189"/>
      <c r="AF1" s="190" t="s">
        <v>75</v>
      </c>
      <c r="AG1" s="191"/>
      <c r="AH1" s="192"/>
      <c r="AI1" s="193" t="s">
        <v>3</v>
      </c>
      <c r="AJ1" s="194"/>
      <c r="AK1" s="194"/>
      <c r="AL1" s="195"/>
      <c r="AM1" s="196" t="s">
        <v>76</v>
      </c>
      <c r="AN1" s="197"/>
      <c r="AO1" s="197"/>
      <c r="AP1" s="198"/>
      <c r="AQ1" s="203" t="s">
        <v>4</v>
      </c>
      <c r="AR1" s="204"/>
      <c r="AS1" s="204"/>
      <c r="AT1" s="205"/>
      <c r="AU1" s="206" t="s">
        <v>74</v>
      </c>
      <c r="AV1" s="207"/>
      <c r="AW1" s="208"/>
      <c r="AX1" s="211" t="s">
        <v>102</v>
      </c>
      <c r="AY1" s="211"/>
      <c r="AZ1" s="211"/>
      <c r="BA1" s="211"/>
      <c r="BB1" s="211"/>
    </row>
    <row r="2" spans="19:54" ht="36.75" customHeight="1" thickBot="1">
      <c r="S2" s="180"/>
      <c r="T2" s="181"/>
      <c r="U2" s="181"/>
      <c r="V2" s="181"/>
      <c r="W2" s="181"/>
      <c r="X2" s="184"/>
      <c r="Y2" s="185"/>
      <c r="Z2" s="5" t="s">
        <v>5</v>
      </c>
      <c r="AA2" s="89"/>
      <c r="AC2" s="188" t="s">
        <v>2</v>
      </c>
      <c r="AD2" s="189"/>
      <c r="AE2" s="212"/>
      <c r="AF2" s="190" t="s">
        <v>78</v>
      </c>
      <c r="AG2" s="191"/>
      <c r="AH2" s="192"/>
      <c r="AI2" s="193" t="s">
        <v>3</v>
      </c>
      <c r="AJ2" s="194"/>
      <c r="AK2" s="194"/>
      <c r="AL2" s="195"/>
      <c r="AM2" s="202" t="s">
        <v>79</v>
      </c>
      <c r="AN2" s="202"/>
      <c r="AO2" s="202"/>
      <c r="AP2" s="202"/>
      <c r="AQ2" s="203" t="s">
        <v>4</v>
      </c>
      <c r="AR2" s="204"/>
      <c r="AS2" s="204"/>
      <c r="AT2" s="205"/>
      <c r="AU2" s="213" t="s">
        <v>77</v>
      </c>
      <c r="AV2" s="213"/>
      <c r="AW2" s="213"/>
      <c r="AX2" s="211"/>
      <c r="AY2" s="211"/>
      <c r="AZ2" s="211"/>
      <c r="BA2" s="211"/>
      <c r="BB2" s="211"/>
    </row>
    <row r="3" spans="19:54" ht="38.25" customHeight="1" thickBot="1">
      <c r="S3" s="181"/>
      <c r="T3" s="181"/>
      <c r="U3" s="181"/>
      <c r="V3" s="181"/>
      <c r="W3" s="181"/>
      <c r="X3" s="186"/>
      <c r="Y3" s="187"/>
      <c r="Z3" s="90" t="s">
        <v>65</v>
      </c>
      <c r="AA3" s="6"/>
      <c r="AC3" s="188" t="s">
        <v>6</v>
      </c>
      <c r="AD3" s="189"/>
      <c r="AE3" s="212"/>
      <c r="AF3" s="190" t="s">
        <v>81</v>
      </c>
      <c r="AG3" s="191"/>
      <c r="AH3" s="192"/>
      <c r="AI3" s="199" t="s">
        <v>7</v>
      </c>
      <c r="AJ3" s="200"/>
      <c r="AK3" s="200"/>
      <c r="AL3" s="201"/>
      <c r="AM3" s="202" t="s">
        <v>82</v>
      </c>
      <c r="AN3" s="202"/>
      <c r="AO3" s="202"/>
      <c r="AP3" s="202"/>
      <c r="AQ3" s="203" t="s">
        <v>4</v>
      </c>
      <c r="AR3" s="204"/>
      <c r="AS3" s="204"/>
      <c r="AT3" s="214"/>
      <c r="AU3" s="215" t="s">
        <v>80</v>
      </c>
      <c r="AV3" s="216"/>
      <c r="AW3" s="217"/>
      <c r="AX3" s="211"/>
      <c r="AY3" s="211"/>
      <c r="AZ3" s="211"/>
      <c r="BA3" s="211"/>
      <c r="BB3" s="211"/>
    </row>
    <row r="4" spans="19:54" ht="34.5" customHeight="1" thickBot="1">
      <c r="S4" s="225" t="s">
        <v>8</v>
      </c>
      <c r="T4" s="226"/>
      <c r="U4" s="226"/>
      <c r="V4" s="226"/>
      <c r="W4" s="226"/>
      <c r="X4" s="227"/>
      <c r="Y4" s="227"/>
      <c r="Z4" s="228"/>
      <c r="AA4" s="229" t="s">
        <v>9</v>
      </c>
      <c r="AB4" s="230"/>
      <c r="AC4" s="231" t="s">
        <v>10</v>
      </c>
      <c r="AD4" s="232"/>
      <c r="AE4" s="233" t="s">
        <v>11</v>
      </c>
      <c r="AF4" s="234"/>
      <c r="AG4" s="234"/>
      <c r="AH4" s="234"/>
      <c r="AI4" s="234"/>
      <c r="AJ4" s="235"/>
      <c r="AK4" s="7"/>
      <c r="AL4" s="236" t="s">
        <v>12</v>
      </c>
      <c r="AM4" s="237"/>
      <c r="AN4" s="237"/>
      <c r="AO4" s="237"/>
      <c r="AP4" s="237"/>
      <c r="AQ4" s="237"/>
      <c r="AR4" s="8"/>
      <c r="AS4" s="238" t="s">
        <v>13</v>
      </c>
      <c r="AT4" s="239"/>
      <c r="AU4" s="239"/>
      <c r="AV4" s="239"/>
      <c r="AW4" s="240"/>
      <c r="AX4" s="218" t="s">
        <v>14</v>
      </c>
      <c r="AY4" s="219"/>
      <c r="AZ4" s="219"/>
      <c r="BA4" s="219"/>
      <c r="BB4" s="220"/>
    </row>
    <row r="5" spans="19:54" ht="52.5" customHeight="1">
      <c r="S5" s="246" t="s">
        <v>15</v>
      </c>
      <c r="T5" s="248" t="s">
        <v>16</v>
      </c>
      <c r="U5" s="248" t="s">
        <v>17</v>
      </c>
      <c r="V5" s="248" t="s">
        <v>18</v>
      </c>
      <c r="W5" s="248" t="s">
        <v>19</v>
      </c>
      <c r="X5" s="248" t="s">
        <v>20</v>
      </c>
      <c r="Y5" s="248" t="s">
        <v>21</v>
      </c>
      <c r="Z5" s="250" t="s">
        <v>22</v>
      </c>
      <c r="AA5" s="252" t="s">
        <v>23</v>
      </c>
      <c r="AB5" s="270" t="s">
        <v>9</v>
      </c>
      <c r="AC5" s="272" t="s">
        <v>24</v>
      </c>
      <c r="AD5" s="272" t="s">
        <v>25</v>
      </c>
      <c r="AE5" s="274" t="s">
        <v>26</v>
      </c>
      <c r="AF5" s="209" t="s">
        <v>27</v>
      </c>
      <c r="AG5" s="209" t="s">
        <v>28</v>
      </c>
      <c r="AH5" s="263" t="s">
        <v>29</v>
      </c>
      <c r="AI5" s="263" t="s">
        <v>30</v>
      </c>
      <c r="AJ5" s="265" t="s">
        <v>31</v>
      </c>
      <c r="AK5" s="267" t="s">
        <v>32</v>
      </c>
      <c r="AL5" s="268"/>
      <c r="AM5" s="268"/>
      <c r="AN5" s="268"/>
      <c r="AO5" s="268"/>
      <c r="AP5" s="268"/>
      <c r="AQ5" s="268"/>
      <c r="AR5" s="269"/>
      <c r="AS5" s="259" t="s">
        <v>33</v>
      </c>
      <c r="AT5" s="259" t="s">
        <v>34</v>
      </c>
      <c r="AU5" s="259" t="s">
        <v>35</v>
      </c>
      <c r="AV5" s="259" t="s">
        <v>66</v>
      </c>
      <c r="AW5" s="261" t="s">
        <v>36</v>
      </c>
      <c r="AX5" s="252" t="s">
        <v>37</v>
      </c>
      <c r="AY5" s="221" t="s">
        <v>38</v>
      </c>
      <c r="AZ5" s="221" t="s">
        <v>39</v>
      </c>
      <c r="BA5" s="221" t="s">
        <v>40</v>
      </c>
      <c r="BB5" s="223" t="s">
        <v>41</v>
      </c>
    </row>
    <row r="6" spans="19:54" ht="27.95" customHeight="1" thickBot="1">
      <c r="S6" s="247"/>
      <c r="T6" s="249"/>
      <c r="U6" s="249"/>
      <c r="V6" s="249"/>
      <c r="W6" s="249"/>
      <c r="X6" s="249"/>
      <c r="Y6" s="249"/>
      <c r="Z6" s="251"/>
      <c r="AA6" s="253"/>
      <c r="AB6" s="271"/>
      <c r="AC6" s="273"/>
      <c r="AD6" s="273"/>
      <c r="AE6" s="275"/>
      <c r="AF6" s="210"/>
      <c r="AG6" s="210"/>
      <c r="AH6" s="264"/>
      <c r="AI6" s="264"/>
      <c r="AJ6" s="266"/>
      <c r="AK6" s="9">
        <v>1</v>
      </c>
      <c r="AL6" s="10">
        <v>2</v>
      </c>
      <c r="AM6" s="10">
        <v>3</v>
      </c>
      <c r="AN6" s="10">
        <v>4</v>
      </c>
      <c r="AO6" s="10">
        <v>5</v>
      </c>
      <c r="AP6" s="10">
        <v>6</v>
      </c>
      <c r="AQ6" s="10">
        <v>12</v>
      </c>
      <c r="AR6" s="11"/>
      <c r="AS6" s="260"/>
      <c r="AT6" s="260"/>
      <c r="AU6" s="260"/>
      <c r="AV6" s="260"/>
      <c r="AW6" s="262"/>
      <c r="AX6" s="253"/>
      <c r="AY6" s="222"/>
      <c r="AZ6" s="222"/>
      <c r="BA6" s="222"/>
      <c r="BB6" s="224"/>
    </row>
    <row r="7" spans="19:54" s="34" customFormat="1" ht="48" customHeight="1" thickBot="1">
      <c r="S7" s="12">
        <v>1</v>
      </c>
      <c r="T7" s="241" t="s">
        <v>1</v>
      </c>
      <c r="U7" s="35"/>
      <c r="V7" s="125"/>
      <c r="W7" s="125"/>
      <c r="X7" s="36"/>
      <c r="Y7" s="36"/>
      <c r="Z7" s="18">
        <f t="shared" ref="Z7:Z15" si="0">IF(Y7&lt;X7,1+Y7-X7,Y7-X7)</f>
        <v>0</v>
      </c>
      <c r="AA7" s="19"/>
      <c r="AB7" s="20"/>
      <c r="AC7" s="40"/>
      <c r="AD7" s="101"/>
      <c r="AE7" s="41"/>
      <c r="AF7" s="42"/>
      <c r="AG7" s="42"/>
      <c r="AH7" s="42"/>
      <c r="AI7" s="42"/>
      <c r="AJ7" s="43"/>
      <c r="AK7" s="44"/>
      <c r="AL7" s="45"/>
      <c r="AM7" s="45"/>
      <c r="AN7" s="45"/>
      <c r="AO7" s="45"/>
      <c r="AP7" s="45"/>
      <c r="AQ7" s="45"/>
      <c r="AR7" s="46"/>
      <c r="AS7" s="47"/>
      <c r="AT7" s="35"/>
      <c r="AU7" s="35"/>
      <c r="AV7" s="35"/>
      <c r="AW7" s="48"/>
      <c r="AX7" s="30">
        <f t="shared" ref="AX7:AX15" si="1">SUM(AY7:BB7)</f>
        <v>0</v>
      </c>
      <c r="AY7" s="31">
        <v>0</v>
      </c>
      <c r="AZ7" s="32">
        <v>0</v>
      </c>
      <c r="BA7" s="31">
        <v>0</v>
      </c>
      <c r="BB7" s="33">
        <f t="shared" ref="BB7:BB15" si="2">SUM(($AQ$6*AQ7+$AP$6*AP7+$AN$6*AN7+$AM$6*$AM7+$AL$6*AL7+$AK$6*AK7+$AO$6*AO7+$AR$6*AR7)*175)</f>
        <v>0</v>
      </c>
    </row>
    <row r="8" spans="19:54" s="34" customFormat="1" ht="48" customHeight="1" thickBot="1">
      <c r="S8" s="12">
        <v>2</v>
      </c>
      <c r="T8" s="242"/>
      <c r="U8" s="35"/>
      <c r="V8" s="123"/>
      <c r="W8" s="123"/>
      <c r="X8" s="36"/>
      <c r="Y8" s="36"/>
      <c r="Z8" s="37">
        <f t="shared" si="0"/>
        <v>0</v>
      </c>
      <c r="AA8" s="38"/>
      <c r="AB8" s="39"/>
      <c r="AC8" s="147"/>
      <c r="AD8" s="101"/>
      <c r="AE8" s="41"/>
      <c r="AF8" s="42"/>
      <c r="AG8" s="42"/>
      <c r="AH8" s="42"/>
      <c r="AI8" s="42"/>
      <c r="AJ8" s="43"/>
      <c r="AK8" s="44"/>
      <c r="AL8" s="45"/>
      <c r="AM8" s="45"/>
      <c r="AN8" s="45"/>
      <c r="AO8" s="45"/>
      <c r="AP8" s="45"/>
      <c r="AQ8" s="45"/>
      <c r="AR8" s="46"/>
      <c r="AS8" s="47"/>
      <c r="AT8" s="35"/>
      <c r="AU8" s="35"/>
      <c r="AV8" s="35"/>
      <c r="AW8" s="48"/>
      <c r="AX8" s="49">
        <f t="shared" si="1"/>
        <v>0</v>
      </c>
      <c r="AY8" s="50">
        <v>0</v>
      </c>
      <c r="AZ8" s="51">
        <v>0</v>
      </c>
      <c r="BA8" s="52">
        <v>0</v>
      </c>
      <c r="BB8" s="53">
        <f t="shared" si="2"/>
        <v>0</v>
      </c>
    </row>
    <row r="9" spans="19:54" s="34" customFormat="1" ht="48" customHeight="1" thickBot="1">
      <c r="S9" s="12">
        <v>3</v>
      </c>
      <c r="T9" s="242"/>
      <c r="U9" s="35"/>
      <c r="V9" s="123"/>
      <c r="W9" s="123"/>
      <c r="X9" s="36"/>
      <c r="Y9" s="36"/>
      <c r="Z9" s="37">
        <f t="shared" si="0"/>
        <v>0</v>
      </c>
      <c r="AA9" s="38"/>
      <c r="AB9" s="39"/>
      <c r="AC9" s="147"/>
      <c r="AD9" s="101"/>
      <c r="AE9" s="41"/>
      <c r="AF9" s="42"/>
      <c r="AG9" s="42"/>
      <c r="AH9" s="42"/>
      <c r="AI9" s="42"/>
      <c r="AJ9" s="43"/>
      <c r="AK9" s="44"/>
      <c r="AL9" s="45"/>
      <c r="AM9" s="45"/>
      <c r="AN9" s="45"/>
      <c r="AO9" s="45"/>
      <c r="AP9" s="45"/>
      <c r="AQ9" s="45"/>
      <c r="AR9" s="46"/>
      <c r="AS9" s="47"/>
      <c r="AT9" s="35"/>
      <c r="AU9" s="35"/>
      <c r="AV9" s="35"/>
      <c r="AW9" s="48"/>
      <c r="AX9" s="49">
        <f t="shared" si="1"/>
        <v>0</v>
      </c>
      <c r="AY9" s="51">
        <v>0</v>
      </c>
      <c r="AZ9" s="52">
        <v>0</v>
      </c>
      <c r="BA9" s="51">
        <v>0</v>
      </c>
      <c r="BB9" s="53">
        <f t="shared" si="2"/>
        <v>0</v>
      </c>
    </row>
    <row r="10" spans="19:54" s="34" customFormat="1" ht="48" customHeight="1" thickBot="1">
      <c r="S10" s="12">
        <v>4</v>
      </c>
      <c r="T10" s="243" t="s">
        <v>5</v>
      </c>
      <c r="U10" s="35"/>
      <c r="V10" s="174"/>
      <c r="W10" s="174"/>
      <c r="X10" s="36"/>
      <c r="Y10" s="36"/>
      <c r="Z10" s="37">
        <f t="shared" si="0"/>
        <v>0</v>
      </c>
      <c r="AA10" s="38"/>
      <c r="AB10" s="39"/>
      <c r="AC10" s="147"/>
      <c r="AD10" s="101"/>
      <c r="AE10" s="41"/>
      <c r="AF10" s="42"/>
      <c r="AG10" s="42"/>
      <c r="AH10" s="42"/>
      <c r="AI10" s="42"/>
      <c r="AJ10" s="43"/>
      <c r="AK10" s="44"/>
      <c r="AL10" s="45"/>
      <c r="AM10" s="45"/>
      <c r="AN10" s="45"/>
      <c r="AO10" s="45"/>
      <c r="AP10" s="45"/>
      <c r="AQ10" s="45"/>
      <c r="AR10" s="46"/>
      <c r="AS10" s="47"/>
      <c r="AT10" s="35"/>
      <c r="AU10" s="35"/>
      <c r="AV10" s="35"/>
      <c r="AW10" s="48"/>
      <c r="AX10" s="49">
        <f t="shared" si="1"/>
        <v>0</v>
      </c>
      <c r="AY10" s="51">
        <v>0</v>
      </c>
      <c r="AZ10" s="52">
        <v>0</v>
      </c>
      <c r="BA10" s="51">
        <v>0</v>
      </c>
      <c r="BB10" s="53">
        <f t="shared" si="2"/>
        <v>0</v>
      </c>
    </row>
    <row r="11" spans="19:54" s="34" customFormat="1" ht="48" customHeight="1" thickBot="1">
      <c r="S11" s="12">
        <v>5</v>
      </c>
      <c r="T11" s="243"/>
      <c r="U11" s="35"/>
      <c r="V11" s="123"/>
      <c r="W11" s="123"/>
      <c r="X11" s="36"/>
      <c r="Y11" s="120"/>
      <c r="Z11" s="37">
        <f t="shared" si="0"/>
        <v>0</v>
      </c>
      <c r="AA11" s="38"/>
      <c r="AB11" s="39"/>
      <c r="AC11" s="147"/>
      <c r="AD11" s="101"/>
      <c r="AE11" s="41"/>
      <c r="AF11" s="42"/>
      <c r="AG11" s="42"/>
      <c r="AH11" s="42"/>
      <c r="AI11" s="42"/>
      <c r="AJ11" s="43"/>
      <c r="AK11" s="44"/>
      <c r="AL11" s="45"/>
      <c r="AM11" s="45"/>
      <c r="AN11" s="45"/>
      <c r="AO11" s="45"/>
      <c r="AP11" s="45"/>
      <c r="AQ11" s="45"/>
      <c r="AR11" s="46"/>
      <c r="AS11" s="47"/>
      <c r="AT11" s="35"/>
      <c r="AU11" s="35"/>
      <c r="AV11" s="35"/>
      <c r="AW11" s="48"/>
      <c r="AX11" s="49">
        <f t="shared" si="1"/>
        <v>0</v>
      </c>
      <c r="AY11" s="50">
        <v>0</v>
      </c>
      <c r="AZ11" s="51">
        <v>0</v>
      </c>
      <c r="BA11" s="52">
        <v>0</v>
      </c>
      <c r="BB11" s="53">
        <f t="shared" si="2"/>
        <v>0</v>
      </c>
    </row>
    <row r="12" spans="19:54" s="34" customFormat="1" ht="48" customHeight="1" thickBot="1">
      <c r="S12" s="12">
        <v>10</v>
      </c>
      <c r="T12" s="243"/>
      <c r="U12" s="13"/>
      <c r="V12" s="14"/>
      <c r="W12" s="14"/>
      <c r="X12" s="54"/>
      <c r="Y12" s="54"/>
      <c r="Z12" s="55">
        <f t="shared" si="0"/>
        <v>0</v>
      </c>
      <c r="AA12" s="19"/>
      <c r="AB12" s="20"/>
      <c r="AC12" s="149"/>
      <c r="AD12" s="100"/>
      <c r="AE12" s="22"/>
      <c r="AF12" s="23"/>
      <c r="AG12" s="23"/>
      <c r="AH12" s="23"/>
      <c r="AI12" s="23"/>
      <c r="AJ12" s="24"/>
      <c r="AK12" s="25"/>
      <c r="AL12" s="26"/>
      <c r="AM12" s="26"/>
      <c r="AN12" s="26"/>
      <c r="AO12" s="26"/>
      <c r="AP12" s="26"/>
      <c r="AQ12" s="26"/>
      <c r="AR12" s="27"/>
      <c r="AS12" s="28"/>
      <c r="AT12" s="13"/>
      <c r="AU12" s="13"/>
      <c r="AV12" s="13"/>
      <c r="AW12" s="29"/>
      <c r="AX12" s="30">
        <f t="shared" si="1"/>
        <v>0</v>
      </c>
      <c r="AY12" s="31">
        <v>0</v>
      </c>
      <c r="AZ12" s="32">
        <v>0</v>
      </c>
      <c r="BA12" s="31">
        <v>0</v>
      </c>
      <c r="BB12" s="56">
        <f t="shared" si="2"/>
        <v>0</v>
      </c>
    </row>
    <row r="13" spans="19:54" s="34" customFormat="1" ht="48" customHeight="1" thickBot="1">
      <c r="S13" s="12">
        <v>11</v>
      </c>
      <c r="T13" s="244" t="s">
        <v>65</v>
      </c>
      <c r="U13" s="35"/>
      <c r="V13" s="123"/>
      <c r="W13" s="123"/>
      <c r="X13" s="36"/>
      <c r="Y13" s="36"/>
      <c r="Z13" s="37">
        <f t="shared" si="0"/>
        <v>0</v>
      </c>
      <c r="AA13" s="38"/>
      <c r="AB13" s="39"/>
      <c r="AC13" s="40"/>
      <c r="AD13" s="101"/>
      <c r="AE13" s="41"/>
      <c r="AF13" s="42"/>
      <c r="AG13" s="42"/>
      <c r="AH13" s="42"/>
      <c r="AI13" s="42"/>
      <c r="AJ13" s="43"/>
      <c r="AK13" s="44"/>
      <c r="AL13" s="45"/>
      <c r="AM13" s="45"/>
      <c r="AN13" s="45"/>
      <c r="AO13" s="45"/>
      <c r="AP13" s="45"/>
      <c r="AQ13" s="45"/>
      <c r="AR13" s="46"/>
      <c r="AS13" s="47"/>
      <c r="AT13" s="35"/>
      <c r="AU13" s="35"/>
      <c r="AV13" s="35"/>
      <c r="AW13" s="48"/>
      <c r="AX13" s="49">
        <f t="shared" si="1"/>
        <v>0</v>
      </c>
      <c r="AY13" s="50">
        <v>0</v>
      </c>
      <c r="AZ13" s="51">
        <v>0</v>
      </c>
      <c r="BA13" s="52">
        <v>0</v>
      </c>
      <c r="BB13" s="57">
        <f t="shared" si="2"/>
        <v>0</v>
      </c>
    </row>
    <row r="14" spans="19:54" s="34" customFormat="1" ht="48" customHeight="1" thickBot="1">
      <c r="S14" s="12">
        <v>12</v>
      </c>
      <c r="T14" s="244"/>
      <c r="U14" s="35"/>
      <c r="V14" s="123"/>
      <c r="W14" s="123"/>
      <c r="X14" s="36"/>
      <c r="Y14" s="36"/>
      <c r="Z14" s="37">
        <f t="shared" si="0"/>
        <v>0</v>
      </c>
      <c r="AA14" s="38"/>
      <c r="AB14" s="39"/>
      <c r="AC14" s="147"/>
      <c r="AD14" s="101"/>
      <c r="AE14" s="41"/>
      <c r="AF14" s="42"/>
      <c r="AG14" s="42"/>
      <c r="AH14" s="42"/>
      <c r="AI14" s="42"/>
      <c r="AJ14" s="43"/>
      <c r="AK14" s="44"/>
      <c r="AL14" s="45"/>
      <c r="AM14" s="45"/>
      <c r="AN14" s="45"/>
      <c r="AO14" s="45"/>
      <c r="AP14" s="45"/>
      <c r="AQ14" s="45"/>
      <c r="AR14" s="46"/>
      <c r="AS14" s="47"/>
      <c r="AT14" s="35"/>
      <c r="AU14" s="35"/>
      <c r="AV14" s="35"/>
      <c r="AW14" s="48"/>
      <c r="AX14" s="49">
        <f t="shared" si="1"/>
        <v>0</v>
      </c>
      <c r="AY14" s="51">
        <v>0</v>
      </c>
      <c r="AZ14" s="52">
        <v>0</v>
      </c>
      <c r="BA14" s="51">
        <v>0</v>
      </c>
      <c r="BB14" s="57">
        <f t="shared" si="2"/>
        <v>0</v>
      </c>
    </row>
    <row r="15" spans="19:54" s="34" customFormat="1" ht="48" customHeight="1" thickBot="1">
      <c r="S15" s="12">
        <v>13</v>
      </c>
      <c r="T15" s="245"/>
      <c r="U15" s="58"/>
      <c r="V15" s="59"/>
      <c r="W15" s="59"/>
      <c r="X15" s="60"/>
      <c r="Y15" s="60"/>
      <c r="Z15" s="61">
        <f t="shared" si="0"/>
        <v>0</v>
      </c>
      <c r="AA15" s="62"/>
      <c r="AB15" s="63"/>
      <c r="AC15" s="64"/>
      <c r="AD15" s="102"/>
      <c r="AE15" s="65"/>
      <c r="AF15" s="66"/>
      <c r="AG15" s="67"/>
      <c r="AH15" s="67"/>
      <c r="AI15" s="67"/>
      <c r="AJ15" s="66"/>
      <c r="AK15" s="68"/>
      <c r="AL15" s="69"/>
      <c r="AM15" s="69"/>
      <c r="AN15" s="69"/>
      <c r="AO15" s="69"/>
      <c r="AP15" s="69"/>
      <c r="AQ15" s="69"/>
      <c r="AR15" s="70"/>
      <c r="AS15" s="71"/>
      <c r="AT15" s="35"/>
      <c r="AU15" s="35"/>
      <c r="AV15" s="35"/>
      <c r="AW15" s="48"/>
      <c r="AX15" s="49">
        <f t="shared" si="1"/>
        <v>0</v>
      </c>
      <c r="AY15" s="50">
        <v>0</v>
      </c>
      <c r="AZ15" s="51">
        <v>0</v>
      </c>
      <c r="BA15" s="52">
        <v>0</v>
      </c>
      <c r="BB15" s="57">
        <f t="shared" si="2"/>
        <v>0</v>
      </c>
    </row>
    <row r="16" spans="19:54" s="72" customFormat="1" ht="50.1" customHeight="1">
      <c r="S16" s="254" t="s">
        <v>42</v>
      </c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5" t="s">
        <v>53</v>
      </c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6" t="s">
        <v>43</v>
      </c>
      <c r="AU16" s="257"/>
      <c r="AV16" s="257"/>
      <c r="AW16" s="257"/>
      <c r="AX16" s="257"/>
      <c r="AY16" s="257"/>
      <c r="AZ16" s="257"/>
      <c r="BA16" s="257"/>
      <c r="BB16" s="258"/>
    </row>
    <row r="17" spans="18:62" s="72" customFormat="1" ht="60" customHeight="1">
      <c r="S17" s="73" t="s">
        <v>15</v>
      </c>
      <c r="T17" s="300" t="s">
        <v>44</v>
      </c>
      <c r="U17" s="301"/>
      <c r="V17" s="302" t="s">
        <v>45</v>
      </c>
      <c r="W17" s="303"/>
      <c r="X17" s="74" t="s">
        <v>46</v>
      </c>
      <c r="Y17" s="75" t="s">
        <v>67</v>
      </c>
      <c r="Z17" s="304" t="s">
        <v>47</v>
      </c>
      <c r="AA17" s="304"/>
      <c r="AB17" s="304"/>
      <c r="AC17" s="304"/>
      <c r="AD17" s="304"/>
      <c r="AE17" s="304"/>
      <c r="AF17" s="304"/>
      <c r="AG17" s="305" t="s">
        <v>48</v>
      </c>
      <c r="AH17" s="306"/>
      <c r="AI17" s="307" t="s">
        <v>49</v>
      </c>
      <c r="AJ17" s="307"/>
      <c r="AK17" s="92"/>
      <c r="AL17" s="308" t="s">
        <v>68</v>
      </c>
      <c r="AM17" s="309"/>
      <c r="AN17" s="310"/>
      <c r="AO17" s="288" t="s">
        <v>50</v>
      </c>
      <c r="AP17" s="289"/>
      <c r="AQ17" s="289"/>
      <c r="AR17" s="289"/>
      <c r="AS17" s="289"/>
      <c r="AT17" s="76" t="s">
        <v>51</v>
      </c>
      <c r="AU17" s="290" t="s">
        <v>33</v>
      </c>
      <c r="AV17" s="291"/>
      <c r="AW17" s="77" t="s">
        <v>34</v>
      </c>
      <c r="AX17" s="77" t="s">
        <v>66</v>
      </c>
      <c r="AY17" s="77" t="s">
        <v>35</v>
      </c>
      <c r="AZ17" s="77" t="s">
        <v>36</v>
      </c>
      <c r="BA17" s="292" t="s">
        <v>52</v>
      </c>
      <c r="BB17" s="293"/>
    </row>
    <row r="18" spans="18:62" ht="60.75" customHeight="1">
      <c r="S18" s="78">
        <v>1</v>
      </c>
      <c r="T18" s="294"/>
      <c r="U18" s="295"/>
      <c r="V18" s="280"/>
      <c r="W18" s="281"/>
      <c r="X18" s="79" t="str">
        <f>TEXT(MOD(V18-T18,1),"h:mm")</f>
        <v>0:00</v>
      </c>
      <c r="Y18" s="80"/>
      <c r="Z18" s="282"/>
      <c r="AA18" s="282"/>
      <c r="AB18" s="282"/>
      <c r="AC18" s="282"/>
      <c r="AD18" s="282"/>
      <c r="AE18" s="282"/>
      <c r="AF18" s="282"/>
      <c r="AG18" s="296">
        <f>SUM(AX7:AX9)</f>
        <v>0</v>
      </c>
      <c r="AH18" s="297"/>
      <c r="AI18" s="298">
        <f>SUM(AX10:AX12)</f>
        <v>0</v>
      </c>
      <c r="AJ18" s="298"/>
      <c r="AK18" s="93"/>
      <c r="AL18" s="298">
        <f>SUM(AX13:AX15)</f>
        <v>0</v>
      </c>
      <c r="AM18" s="298"/>
      <c r="AN18" s="298"/>
      <c r="AO18" s="299">
        <f>SUM(AG18:AN18)</f>
        <v>0</v>
      </c>
      <c r="AP18" s="299"/>
      <c r="AQ18" s="299"/>
      <c r="AR18" s="299"/>
      <c r="AS18" s="299"/>
      <c r="AT18" s="81" t="s">
        <v>1</v>
      </c>
      <c r="AU18" s="276">
        <f>SUM(AS7:AS9)</f>
        <v>0</v>
      </c>
      <c r="AV18" s="277"/>
      <c r="AW18" s="82">
        <f>SUM(AT7:AT9)</f>
        <v>0</v>
      </c>
      <c r="AX18" s="82">
        <f>SUM(AV7:AV9)</f>
        <v>0</v>
      </c>
      <c r="AY18" s="82">
        <f>SUM(AU7:AU9)</f>
        <v>0</v>
      </c>
      <c r="AZ18" s="82">
        <f>SUM(AW7:AW9)</f>
        <v>0</v>
      </c>
      <c r="BA18" s="276">
        <f>SUM(AU18:AZ18)</f>
        <v>0</v>
      </c>
      <c r="BB18" s="277"/>
    </row>
    <row r="19" spans="18:62" ht="60.75" customHeight="1">
      <c r="S19" s="78">
        <v>2</v>
      </c>
      <c r="T19" s="278"/>
      <c r="U19" s="279"/>
      <c r="V19" s="280"/>
      <c r="W19" s="281"/>
      <c r="X19" s="79" t="str">
        <f>TEXT(MOD(V19-T19,1),"h:mm")</f>
        <v>0:00</v>
      </c>
      <c r="Y19" s="80"/>
      <c r="Z19" s="282"/>
      <c r="AA19" s="282"/>
      <c r="AB19" s="282"/>
      <c r="AC19" s="282"/>
      <c r="AD19" s="282"/>
      <c r="AE19" s="282"/>
      <c r="AF19" s="282"/>
      <c r="AG19" s="283" t="s">
        <v>41</v>
      </c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5"/>
      <c r="AT19" s="83" t="s">
        <v>5</v>
      </c>
      <c r="AU19" s="286">
        <f>SUM(AS10:AS12)</f>
        <v>0</v>
      </c>
      <c r="AV19" s="287"/>
      <c r="AW19" s="84">
        <f>SUM(AT10:AT12)</f>
        <v>0</v>
      </c>
      <c r="AX19" s="84">
        <f>SUM(AV10:AV12)</f>
        <v>0</v>
      </c>
      <c r="AY19" s="84">
        <f>SUM(AU10:AU12)</f>
        <v>0</v>
      </c>
      <c r="AZ19" s="84">
        <f>SUM(AW10:AW12)</f>
        <v>0</v>
      </c>
      <c r="BA19" s="286">
        <f>SUM(AU19:AZ19)</f>
        <v>0</v>
      </c>
      <c r="BB19" s="287"/>
    </row>
    <row r="20" spans="18:62" ht="60.75" customHeight="1">
      <c r="S20" s="78">
        <v>3</v>
      </c>
      <c r="T20" s="278"/>
      <c r="U20" s="279"/>
      <c r="V20" s="280"/>
      <c r="W20" s="281"/>
      <c r="X20" s="79" t="str">
        <f>TEXT(MOD(V20-T20,1),"h:mm")</f>
        <v>0:00</v>
      </c>
      <c r="Y20" s="80"/>
      <c r="Z20" s="327"/>
      <c r="AA20" s="327"/>
      <c r="AB20" s="327"/>
      <c r="AC20" s="327"/>
      <c r="AD20" s="327"/>
      <c r="AE20" s="327"/>
      <c r="AF20" s="327"/>
      <c r="AG20" s="311">
        <f>SUM(BB7:BB9)</f>
        <v>0</v>
      </c>
      <c r="AH20" s="328"/>
      <c r="AI20" s="311">
        <f>SUM(BB10:BB12)</f>
        <v>0</v>
      </c>
      <c r="AJ20" s="328"/>
      <c r="AK20" s="94"/>
      <c r="AL20" s="311">
        <f>SUM(BB13:BB15)</f>
        <v>0</v>
      </c>
      <c r="AM20" s="329"/>
      <c r="AN20" s="328"/>
      <c r="AO20" s="311">
        <f>SUM(AG20:AN20)</f>
        <v>0</v>
      </c>
      <c r="AP20" s="312"/>
      <c r="AQ20" s="312"/>
      <c r="AR20" s="312"/>
      <c r="AS20" s="313"/>
      <c r="AT20" s="91" t="s">
        <v>65</v>
      </c>
      <c r="AU20" s="314">
        <f>SUM(AS13:AS15)</f>
        <v>0</v>
      </c>
      <c r="AV20" s="315"/>
      <c r="AW20" s="99">
        <f>SUM(AT13:AT15)</f>
        <v>0</v>
      </c>
      <c r="AX20" s="99">
        <f>SUM(AV13:AV15)</f>
        <v>0</v>
      </c>
      <c r="AY20" s="99">
        <f>SUM(AU13:AU15)</f>
        <v>0</v>
      </c>
      <c r="AZ20" s="99">
        <f>SUM(AW13:AW15)</f>
        <v>0</v>
      </c>
      <c r="BA20" s="316">
        <f>SUM(AU20:AZ20)</f>
        <v>0</v>
      </c>
      <c r="BB20" s="317"/>
    </row>
    <row r="21" spans="18:62" ht="60.75" customHeight="1">
      <c r="S21" s="78">
        <v>4</v>
      </c>
      <c r="T21" s="278"/>
      <c r="U21" s="279"/>
      <c r="V21" s="280"/>
      <c r="W21" s="281"/>
      <c r="X21" s="79" t="str">
        <f>TEXT(MOD(V21-T21,1),"h:mm")</f>
        <v>0:00</v>
      </c>
      <c r="Y21" s="80"/>
      <c r="Z21" s="318"/>
      <c r="AA21" s="318"/>
      <c r="AB21" s="318"/>
      <c r="AC21" s="318"/>
      <c r="AD21" s="318"/>
      <c r="AE21" s="318"/>
      <c r="AF21" s="318"/>
      <c r="AG21" s="319" t="s">
        <v>54</v>
      </c>
      <c r="AH21" s="320"/>
      <c r="AI21" s="320"/>
      <c r="AJ21" s="320"/>
      <c r="AK21" s="320"/>
      <c r="AL21" s="320"/>
      <c r="AM21" s="320"/>
      <c r="AN21" s="320"/>
      <c r="AO21" s="320"/>
      <c r="AP21" s="320"/>
      <c r="AQ21" s="320"/>
      <c r="AR21" s="320"/>
      <c r="AS21" s="321"/>
      <c r="AT21" s="322" t="s">
        <v>55</v>
      </c>
      <c r="AU21" s="323"/>
      <c r="AV21" s="324"/>
      <c r="AW21" s="325">
        <v>1680</v>
      </c>
      <c r="AX21" s="326"/>
      <c r="AY21" s="322" t="s">
        <v>56</v>
      </c>
      <c r="AZ21" s="324"/>
      <c r="BA21" s="330">
        <v>1628</v>
      </c>
      <c r="BB21" s="331"/>
    </row>
    <row r="22" spans="18:62" ht="54" customHeight="1">
      <c r="S22" s="78">
        <v>5</v>
      </c>
      <c r="T22" s="278"/>
      <c r="U22" s="279"/>
      <c r="V22" s="280"/>
      <c r="W22" s="281"/>
      <c r="X22" s="79" t="str">
        <f>TEXT(MOD(V22-T22,1),"h:mm")</f>
        <v>0:00</v>
      </c>
      <c r="Y22" s="80"/>
      <c r="Z22" s="318"/>
      <c r="AA22" s="318"/>
      <c r="AB22" s="318"/>
      <c r="AC22" s="318"/>
      <c r="AD22" s="318"/>
      <c r="AE22" s="318"/>
      <c r="AF22" s="318"/>
      <c r="AG22" s="357">
        <f>SUM(AY7:BA9)</f>
        <v>0</v>
      </c>
      <c r="AH22" s="357"/>
      <c r="AI22" s="298">
        <f>SUM(AY10:BA12)</f>
        <v>0</v>
      </c>
      <c r="AJ22" s="298"/>
      <c r="AK22" s="95"/>
      <c r="AL22" s="358">
        <f>SUM(AY13:BA15)</f>
        <v>0</v>
      </c>
      <c r="AM22" s="358"/>
      <c r="AN22" s="359"/>
      <c r="AO22" s="360">
        <f>SUM(AG22:AN22)</f>
        <v>0</v>
      </c>
      <c r="AP22" s="361"/>
      <c r="AQ22" s="361"/>
      <c r="AR22" s="361"/>
      <c r="AS22" s="362"/>
      <c r="AT22" s="98" t="s">
        <v>69</v>
      </c>
      <c r="AU22" s="363" t="s">
        <v>48</v>
      </c>
      <c r="AV22" s="364"/>
      <c r="AW22" s="365" t="s">
        <v>49</v>
      </c>
      <c r="AX22" s="366"/>
      <c r="AY22" s="332" t="s">
        <v>68</v>
      </c>
      <c r="AZ22" s="333"/>
      <c r="BA22" s="334" t="s">
        <v>57</v>
      </c>
      <c r="BB22" s="335"/>
    </row>
    <row r="23" spans="18:62" ht="59.25" customHeight="1">
      <c r="S23" s="336" t="s">
        <v>61</v>
      </c>
      <c r="T23" s="337"/>
      <c r="U23" s="337"/>
      <c r="V23" s="337"/>
      <c r="W23" s="338"/>
      <c r="X23" s="85">
        <f>SUM(X18+X19+X20+X21+X22)</f>
        <v>0</v>
      </c>
      <c r="Y23" s="124" t="s">
        <v>62</v>
      </c>
      <c r="Z23" s="86"/>
      <c r="AA23" s="87"/>
      <c r="AB23" s="87"/>
      <c r="AC23" s="339" t="s">
        <v>63</v>
      </c>
      <c r="AD23" s="339"/>
      <c r="AE23" s="340"/>
      <c r="AF23" s="341"/>
      <c r="AG23" s="342" t="s">
        <v>22</v>
      </c>
      <c r="AH23" s="343"/>
      <c r="AI23" s="344"/>
      <c r="AJ23" s="345" t="s">
        <v>48</v>
      </c>
      <c r="AK23" s="346"/>
      <c r="AL23" s="346"/>
      <c r="AM23" s="347"/>
      <c r="AN23" s="348" t="s">
        <v>49</v>
      </c>
      <c r="AO23" s="348"/>
      <c r="AP23" s="348"/>
      <c r="AQ23" s="349" t="s">
        <v>68</v>
      </c>
      <c r="AR23" s="350"/>
      <c r="AS23" s="351"/>
      <c r="AT23" s="96" t="s">
        <v>60</v>
      </c>
      <c r="AU23" s="352">
        <f>SUM(AQ7:AQ9)</f>
        <v>0</v>
      </c>
      <c r="AV23" s="353"/>
      <c r="AW23" s="352">
        <f>SUM(AQ10:AQ12)</f>
        <v>0</v>
      </c>
      <c r="AX23" s="354"/>
      <c r="AY23" s="352">
        <f>SUM(AQ13:AQ15)</f>
        <v>0</v>
      </c>
      <c r="AZ23" s="353"/>
      <c r="BA23" s="355">
        <f>SUM(AU23:AZ23)</f>
        <v>0</v>
      </c>
      <c r="BB23" s="356"/>
    </row>
    <row r="24" spans="18:62" ht="57" customHeight="1">
      <c r="S24" s="367"/>
      <c r="T24" s="368"/>
      <c r="U24" s="368"/>
      <c r="V24" s="368"/>
      <c r="W24" s="369"/>
      <c r="X24" s="373" t="s">
        <v>73</v>
      </c>
      <c r="Y24" s="104" t="s">
        <v>70</v>
      </c>
      <c r="Z24" s="105" t="s">
        <v>71</v>
      </c>
      <c r="AA24" s="103"/>
      <c r="AB24" s="103"/>
      <c r="AC24" s="375" t="s">
        <v>72</v>
      </c>
      <c r="AD24" s="376"/>
      <c r="AE24" s="377" t="s">
        <v>57</v>
      </c>
      <c r="AF24" s="378"/>
      <c r="AG24" s="379" t="s">
        <v>58</v>
      </c>
      <c r="AH24" s="380"/>
      <c r="AI24" s="381"/>
      <c r="AJ24" s="382">
        <f>AVERAGE(Z7:Z8)</f>
        <v>0</v>
      </c>
      <c r="AK24" s="383"/>
      <c r="AL24" s="383"/>
      <c r="AM24" s="383"/>
      <c r="AN24" s="382">
        <f>AVERAGE(Z10)</f>
        <v>0</v>
      </c>
      <c r="AO24" s="383"/>
      <c r="AP24" s="383"/>
      <c r="AQ24" s="382">
        <f>AVERAGE(Z13:Z14)</f>
        <v>0</v>
      </c>
      <c r="AR24" s="383"/>
      <c r="AS24" s="383"/>
      <c r="AT24" s="97" t="s">
        <v>64</v>
      </c>
      <c r="AU24" s="387">
        <f>SUM(AL7:AP9)</f>
        <v>0</v>
      </c>
      <c r="AV24" s="388"/>
      <c r="AW24" s="387">
        <f>SUM(AL10:AP12)</f>
        <v>0</v>
      </c>
      <c r="AX24" s="388"/>
      <c r="AY24" s="387">
        <f>SUM(AL13:AP15)</f>
        <v>0</v>
      </c>
      <c r="AZ24" s="388"/>
      <c r="BA24" s="389">
        <f>SUM(AU24:AZ24)</f>
        <v>0</v>
      </c>
      <c r="BB24" s="390"/>
    </row>
    <row r="25" spans="18:62" ht="52.5" customHeight="1">
      <c r="S25" s="370"/>
      <c r="T25" s="371"/>
      <c r="U25" s="371"/>
      <c r="V25" s="371"/>
      <c r="W25" s="372"/>
      <c r="X25" s="374"/>
      <c r="Y25" s="106">
        <f>SUM(AD7:AD8)</f>
        <v>0</v>
      </c>
      <c r="Z25" s="106">
        <f>SUM(AD10:AD12)</f>
        <v>0</v>
      </c>
      <c r="AA25" s="107"/>
      <c r="AB25" s="107"/>
      <c r="AC25" s="391">
        <f>SUM(AD13:AD15)</f>
        <v>0</v>
      </c>
      <c r="AD25" s="392"/>
      <c r="AE25" s="393">
        <f>SUM(Y25:AD25)</f>
        <v>0</v>
      </c>
      <c r="AF25" s="394"/>
      <c r="AG25" s="379" t="s">
        <v>59</v>
      </c>
      <c r="AH25" s="380"/>
      <c r="AI25" s="381"/>
      <c r="AJ25" s="382">
        <f>SUM(Z7:Z9)</f>
        <v>0</v>
      </c>
      <c r="AK25" s="383"/>
      <c r="AL25" s="383"/>
      <c r="AM25" s="383"/>
      <c r="AN25" s="382">
        <f>SUM(Z10:Z12)</f>
        <v>0</v>
      </c>
      <c r="AO25" s="383"/>
      <c r="AP25" s="383"/>
      <c r="AQ25" s="382">
        <f>SUM(Z13:Z15)</f>
        <v>0</v>
      </c>
      <c r="AR25" s="383"/>
      <c r="AS25" s="383"/>
      <c r="AT25" s="384"/>
      <c r="AU25" s="385"/>
      <c r="AV25" s="385"/>
      <c r="AW25" s="385"/>
      <c r="AX25" s="385"/>
      <c r="AY25" s="385"/>
      <c r="AZ25" s="385"/>
      <c r="BA25" s="385"/>
      <c r="BB25" s="386"/>
    </row>
    <row r="26" spans="18:62" ht="60.75" customHeight="1"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8:62" ht="30" customHeight="1"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8:62" ht="30" customHeight="1"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T28" s="4"/>
      <c r="AU28" s="4"/>
      <c r="AV28" s="4"/>
      <c r="AW28" s="4"/>
      <c r="AX28" s="4"/>
      <c r="AY28" s="4"/>
      <c r="AZ28" s="4"/>
      <c r="BA28" s="4"/>
    </row>
    <row r="29" spans="18:62" ht="30" customHeight="1"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T29" s="4"/>
      <c r="AU29" s="4"/>
      <c r="AV29" s="4"/>
      <c r="AW29" s="4"/>
      <c r="AX29" s="4"/>
      <c r="AY29" s="4"/>
      <c r="AZ29" s="4"/>
      <c r="BA29" s="4"/>
    </row>
    <row r="30" spans="18:62" ht="30" customHeight="1">
      <c r="R30" s="3"/>
      <c r="S30" s="3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T30" s="4"/>
      <c r="AU30" s="4"/>
      <c r="AV30" s="4"/>
      <c r="AW30" s="4"/>
      <c r="AX30" s="4"/>
      <c r="AY30" s="4"/>
      <c r="AZ30" s="4"/>
      <c r="BA30" s="4"/>
    </row>
    <row r="31" spans="18:62" ht="30" customHeight="1">
      <c r="R31" s="3"/>
      <c r="S31" s="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T31" s="4"/>
      <c r="AU31" s="4"/>
      <c r="AV31" s="4"/>
      <c r="AW31" s="4"/>
      <c r="AX31" s="4"/>
      <c r="AY31" s="4"/>
      <c r="AZ31" s="4"/>
      <c r="BA31" s="4"/>
    </row>
    <row r="32" spans="18:62" ht="15" customHeight="1">
      <c r="S32" s="3"/>
      <c r="BJ32" s="4">
        <v>8</v>
      </c>
    </row>
  </sheetData>
  <mergeCells count="145">
    <mergeCell ref="S24:W25"/>
    <mergeCell ref="X24:X25"/>
    <mergeCell ref="AC24:AD24"/>
    <mergeCell ref="AE24:AF24"/>
    <mergeCell ref="AG24:AI24"/>
    <mergeCell ref="AJ24:AM24"/>
    <mergeCell ref="AN24:AP24"/>
    <mergeCell ref="AQ25:AS25"/>
    <mergeCell ref="AT25:BB25"/>
    <mergeCell ref="AQ24:AS24"/>
    <mergeCell ref="AU24:AV24"/>
    <mergeCell ref="AW24:AX24"/>
    <mergeCell ref="AY24:AZ24"/>
    <mergeCell ref="BA24:BB24"/>
    <mergeCell ref="AC25:AD25"/>
    <mergeCell ref="AE25:AF25"/>
    <mergeCell ref="AG25:AI25"/>
    <mergeCell ref="AJ25:AM25"/>
    <mergeCell ref="AN25:AP25"/>
    <mergeCell ref="AY22:AZ22"/>
    <mergeCell ref="BA22:BB22"/>
    <mergeCell ref="S23:W23"/>
    <mergeCell ref="AC23:AD23"/>
    <mergeCell ref="AE23:AF23"/>
    <mergeCell ref="AG23:AI23"/>
    <mergeCell ref="AJ23:AM23"/>
    <mergeCell ref="AN23:AP23"/>
    <mergeCell ref="AQ23:AS23"/>
    <mergeCell ref="AU23:AV23"/>
    <mergeCell ref="AW23:AX23"/>
    <mergeCell ref="AY23:AZ23"/>
    <mergeCell ref="BA23:BB23"/>
    <mergeCell ref="T22:U22"/>
    <mergeCell ref="V22:W22"/>
    <mergeCell ref="Z22:AF22"/>
    <mergeCell ref="AG22:AH22"/>
    <mergeCell ref="AI22:AJ22"/>
    <mergeCell ref="AL22:AN22"/>
    <mergeCell ref="AO22:AS22"/>
    <mergeCell ref="AU22:AV22"/>
    <mergeCell ref="AW22:AX22"/>
    <mergeCell ref="AO20:AS20"/>
    <mergeCell ref="AU20:AV20"/>
    <mergeCell ref="BA20:BB20"/>
    <mergeCell ref="T21:U21"/>
    <mergeCell ref="V21:W21"/>
    <mergeCell ref="Z21:AF21"/>
    <mergeCell ref="AG21:AS21"/>
    <mergeCell ref="AT21:AV21"/>
    <mergeCell ref="AW21:AX21"/>
    <mergeCell ref="AY21:AZ21"/>
    <mergeCell ref="T20:U20"/>
    <mergeCell ref="V20:W20"/>
    <mergeCell ref="Z20:AF20"/>
    <mergeCell ref="AG20:AH20"/>
    <mergeCell ref="AI20:AJ20"/>
    <mergeCell ref="AL20:AN20"/>
    <mergeCell ref="BA21:BB21"/>
    <mergeCell ref="AU18:AV18"/>
    <mergeCell ref="BA18:BB18"/>
    <mergeCell ref="T19:U19"/>
    <mergeCell ref="V19:W19"/>
    <mergeCell ref="Z19:AF19"/>
    <mergeCell ref="AG19:AS19"/>
    <mergeCell ref="AU19:AV19"/>
    <mergeCell ref="BA19:BB19"/>
    <mergeCell ref="AO17:AS17"/>
    <mergeCell ref="AU17:AV17"/>
    <mergeCell ref="BA17:BB17"/>
    <mergeCell ref="T18:U18"/>
    <mergeCell ref="V18:W18"/>
    <mergeCell ref="Z18:AF18"/>
    <mergeCell ref="AG18:AH18"/>
    <mergeCell ref="AI18:AJ18"/>
    <mergeCell ref="AL18:AN18"/>
    <mergeCell ref="AO18:AS18"/>
    <mergeCell ref="T17:U17"/>
    <mergeCell ref="V17:W17"/>
    <mergeCell ref="Z17:AF17"/>
    <mergeCell ref="AG17:AH17"/>
    <mergeCell ref="AI17:AJ17"/>
    <mergeCell ref="AL17:AN17"/>
    <mergeCell ref="S16:AF16"/>
    <mergeCell ref="AG16:AS16"/>
    <mergeCell ref="AT16:BB16"/>
    <mergeCell ref="AU5:AU6"/>
    <mergeCell ref="AV5:AV6"/>
    <mergeCell ref="AW5:AW6"/>
    <mergeCell ref="AX5:AX6"/>
    <mergeCell ref="AY5:AY6"/>
    <mergeCell ref="AZ5:AZ6"/>
    <mergeCell ref="AH5:AH6"/>
    <mergeCell ref="AI5:AI6"/>
    <mergeCell ref="AJ5:AJ6"/>
    <mergeCell ref="AK5:AR5"/>
    <mergeCell ref="AS5:AS6"/>
    <mergeCell ref="AT5:AT6"/>
    <mergeCell ref="AB5:AB6"/>
    <mergeCell ref="AC5:AC6"/>
    <mergeCell ref="AD5:AD6"/>
    <mergeCell ref="AE5:AE6"/>
    <mergeCell ref="S4:Z4"/>
    <mergeCell ref="AA4:AB4"/>
    <mergeCell ref="AC4:AD4"/>
    <mergeCell ref="AE4:AJ4"/>
    <mergeCell ref="AL4:AQ4"/>
    <mergeCell ref="AS4:AW4"/>
    <mergeCell ref="T7:T9"/>
    <mergeCell ref="T10:T12"/>
    <mergeCell ref="T13:T15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Q1:AT1"/>
    <mergeCell ref="AU1:AW1"/>
    <mergeCell ref="AF5:AF6"/>
    <mergeCell ref="AG5:AG6"/>
    <mergeCell ref="AX1:BB3"/>
    <mergeCell ref="AC2:AE2"/>
    <mergeCell ref="AF2:AH2"/>
    <mergeCell ref="AI2:AL2"/>
    <mergeCell ref="AM2:AP2"/>
    <mergeCell ref="AQ2:AT2"/>
    <mergeCell ref="AU2:AW2"/>
    <mergeCell ref="AC3:AE3"/>
    <mergeCell ref="AQ3:AT3"/>
    <mergeCell ref="AU3:AW3"/>
    <mergeCell ref="AX4:BB4"/>
    <mergeCell ref="BA5:BA6"/>
    <mergeCell ref="BB5:BB6"/>
    <mergeCell ref="S1:W3"/>
    <mergeCell ref="X1:Y3"/>
    <mergeCell ref="AC1:AE1"/>
    <mergeCell ref="AF1:AH1"/>
    <mergeCell ref="AI1:AL1"/>
    <mergeCell ref="AM1:AP1"/>
    <mergeCell ref="AF3:AH3"/>
    <mergeCell ref="AI3:AL3"/>
    <mergeCell ref="AM3:AP3"/>
  </mergeCells>
  <conditionalFormatting sqref="Z7:Z15">
    <cfRule type="cellIs" dxfId="142" priority="3" operator="greaterThan">
      <formula>0.167361111111111</formula>
    </cfRule>
    <cfRule type="cellIs" dxfId="141" priority="4" operator="greaterThan">
      <formula>0.15625</formula>
    </cfRule>
  </conditionalFormatting>
  <conditionalFormatting sqref="AA7:AJ15">
    <cfRule type="cellIs" dxfId="140" priority="11" operator="between">
      <formula>1700</formula>
      <formula>1710</formula>
    </cfRule>
    <cfRule type="cellIs" dxfId="139" priority="12" operator="between">
      <formula>1691</formula>
      <formula>1700</formula>
    </cfRule>
  </conditionalFormatting>
  <conditionalFormatting sqref="AS7:AS15">
    <cfRule type="expression" dxfId="138" priority="13">
      <formula>IF(($AS7/$AX7)*1000&gt;$AY$1,1,0)</formula>
    </cfRule>
  </conditionalFormatting>
  <conditionalFormatting sqref="AT7:AW15">
    <cfRule type="cellIs" dxfId="137" priority="5" operator="greaterThan">
      <formula>10</formula>
    </cfRule>
  </conditionalFormatting>
  <conditionalFormatting sqref="AX7:AX15">
    <cfRule type="cellIs" dxfId="136" priority="2" operator="between">
      <formula>16000</formula>
      <formula>17200</formula>
    </cfRule>
    <cfRule type="cellIs" dxfId="135" priority="6" operator="lessThan">
      <formula>15800</formula>
    </cfRule>
    <cfRule type="cellIs" dxfId="134" priority="7" operator="greaterThan">
      <formula>18000</formula>
    </cfRule>
  </conditionalFormatting>
  <conditionalFormatting sqref="AZ7:BA15">
    <cfRule type="cellIs" dxfId="133" priority="10" operator="greaterThan">
      <formula>0</formula>
    </cfRule>
  </conditionalFormatting>
  <conditionalFormatting sqref="BB7:BB15">
    <cfRule type="cellIs" dxfId="132" priority="1" operator="between">
      <formula>16000</formula>
      <formula>17200</formula>
    </cfRule>
    <cfRule type="cellIs" dxfId="131" priority="8" operator="greaterThan">
      <formula>18000</formula>
    </cfRule>
    <cfRule type="cellIs" dxfId="130" priority="9" operator="lessThan">
      <formula>15800</formula>
    </cfRule>
  </conditionalFormatting>
  <printOptions horizontalCentered="1" verticalCentered="1"/>
  <pageMargins left="0" right="0" top="0" bottom="0.21" header="0" footer="0"/>
  <pageSetup paperSize="9" scale="42" orientation="landscape" cellComments="asDisplayed" r:id="rId1"/>
  <headerFooter differentFirst="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85EBC-649C-4F66-BAE8-65C781BA06F5}">
  <sheetPr>
    <tabColor theme="5"/>
    <pageSetUpPr fitToPage="1"/>
  </sheetPr>
  <dimension ref="R1:BJ32"/>
  <sheetViews>
    <sheetView showGridLines="0" rightToLeft="1" topLeftCell="M1" zoomScale="55" zoomScaleNormal="55" zoomScalePageLayoutView="40" workbookViewId="0">
      <selection activeCell="AP11" sqref="AP11"/>
    </sheetView>
  </sheetViews>
  <sheetFormatPr defaultColWidth="9.140625" defaultRowHeight="15"/>
  <cols>
    <col min="1" max="18" width="9.140625" style="4"/>
    <col min="19" max="19" width="5.7109375" style="4" customWidth="1"/>
    <col min="20" max="20" width="9.5703125" style="3" customWidth="1"/>
    <col min="21" max="21" width="10.7109375" style="3" customWidth="1"/>
    <col min="22" max="22" width="9.42578125" style="88" customWidth="1"/>
    <col min="23" max="23" width="8.85546875" style="88" customWidth="1"/>
    <col min="24" max="24" width="14.42578125" style="3" customWidth="1"/>
    <col min="25" max="25" width="14.7109375" style="3" customWidth="1"/>
    <col min="26" max="26" width="15.140625" style="88" customWidth="1"/>
    <col min="27" max="27" width="9.5703125" style="3" hidden="1" customWidth="1"/>
    <col min="28" max="28" width="10" style="3" hidden="1" customWidth="1"/>
    <col min="29" max="29" width="8.140625" style="3" customWidth="1"/>
    <col min="30" max="30" width="8.5703125" style="3" customWidth="1"/>
    <col min="31" max="31" width="12.42578125" style="3" customWidth="1"/>
    <col min="32" max="32" width="10.5703125" style="3" customWidth="1"/>
    <col min="33" max="33" width="9.5703125" style="3" customWidth="1"/>
    <col min="34" max="34" width="11.42578125" style="3" customWidth="1"/>
    <col min="35" max="35" width="9.42578125" style="3" customWidth="1"/>
    <col min="36" max="36" width="9.28515625" style="3" customWidth="1"/>
    <col min="37" max="37" width="6.7109375" style="3" hidden="1" customWidth="1"/>
    <col min="38" max="42" width="6.7109375" style="3" customWidth="1"/>
    <col min="43" max="43" width="8.140625" style="3" customWidth="1"/>
    <col min="44" max="44" width="6.7109375" style="3" hidden="1" customWidth="1"/>
    <col min="45" max="45" width="10.42578125" style="3" customWidth="1"/>
    <col min="46" max="46" width="8.7109375" style="3" customWidth="1"/>
    <col min="47" max="47" width="8.5703125" style="3" customWidth="1"/>
    <col min="48" max="48" width="8.7109375" style="3" customWidth="1"/>
    <col min="49" max="49" width="9.5703125" style="3" customWidth="1"/>
    <col min="50" max="50" width="12.42578125" style="88" customWidth="1"/>
    <col min="51" max="51" width="11.85546875" style="3" customWidth="1"/>
    <col min="52" max="52" width="11.5703125" style="3" customWidth="1"/>
    <col min="53" max="53" width="13.42578125" style="3" customWidth="1"/>
    <col min="54" max="54" width="13.5703125" style="4" customWidth="1"/>
    <col min="55" max="57" width="9.140625" style="4"/>
    <col min="58" max="58" width="25" style="4" customWidth="1"/>
    <col min="59" max="61" width="9.140625" style="4"/>
    <col min="62" max="62" width="23.5703125" style="4" customWidth="1"/>
    <col min="63" max="16384" width="9.140625" style="4"/>
  </cols>
  <sheetData>
    <row r="1" spans="19:54" ht="36.75" customHeight="1" thickBot="1">
      <c r="S1" s="180"/>
      <c r="T1" s="181"/>
      <c r="U1" s="181"/>
      <c r="V1" s="181"/>
      <c r="W1" s="181"/>
      <c r="X1" s="182" t="s">
        <v>0</v>
      </c>
      <c r="Y1" s="183"/>
      <c r="Z1" s="1" t="s">
        <v>1</v>
      </c>
      <c r="AA1" s="2"/>
      <c r="AC1" s="188" t="s">
        <v>2</v>
      </c>
      <c r="AD1" s="189"/>
      <c r="AE1" s="189"/>
      <c r="AF1" s="190" t="s">
        <v>75</v>
      </c>
      <c r="AG1" s="191"/>
      <c r="AH1" s="192"/>
      <c r="AI1" s="193" t="s">
        <v>3</v>
      </c>
      <c r="AJ1" s="194"/>
      <c r="AK1" s="194"/>
      <c r="AL1" s="195"/>
      <c r="AM1" s="196" t="s">
        <v>76</v>
      </c>
      <c r="AN1" s="197"/>
      <c r="AO1" s="197"/>
      <c r="AP1" s="198"/>
      <c r="AQ1" s="203" t="s">
        <v>4</v>
      </c>
      <c r="AR1" s="204"/>
      <c r="AS1" s="204"/>
      <c r="AT1" s="205"/>
      <c r="AU1" s="206" t="s">
        <v>74</v>
      </c>
      <c r="AV1" s="207"/>
      <c r="AW1" s="208"/>
      <c r="AX1" s="211" t="s">
        <v>103</v>
      </c>
      <c r="AY1" s="211"/>
      <c r="AZ1" s="211"/>
      <c r="BA1" s="211"/>
      <c r="BB1" s="211"/>
    </row>
    <row r="2" spans="19:54" ht="36.75" customHeight="1" thickBot="1">
      <c r="S2" s="180"/>
      <c r="T2" s="181"/>
      <c r="U2" s="181"/>
      <c r="V2" s="181"/>
      <c r="W2" s="181"/>
      <c r="X2" s="184"/>
      <c r="Y2" s="185"/>
      <c r="Z2" s="5" t="s">
        <v>5</v>
      </c>
      <c r="AA2" s="89"/>
      <c r="AC2" s="188" t="s">
        <v>2</v>
      </c>
      <c r="AD2" s="189"/>
      <c r="AE2" s="212"/>
      <c r="AF2" s="190" t="s">
        <v>78</v>
      </c>
      <c r="AG2" s="191"/>
      <c r="AH2" s="192"/>
      <c r="AI2" s="193" t="s">
        <v>3</v>
      </c>
      <c r="AJ2" s="194"/>
      <c r="AK2" s="194"/>
      <c r="AL2" s="195"/>
      <c r="AM2" s="202" t="s">
        <v>79</v>
      </c>
      <c r="AN2" s="202"/>
      <c r="AO2" s="202"/>
      <c r="AP2" s="202"/>
      <c r="AQ2" s="203" t="s">
        <v>4</v>
      </c>
      <c r="AR2" s="204"/>
      <c r="AS2" s="204"/>
      <c r="AT2" s="205"/>
      <c r="AU2" s="213" t="s">
        <v>77</v>
      </c>
      <c r="AV2" s="213"/>
      <c r="AW2" s="213"/>
      <c r="AX2" s="211"/>
      <c r="AY2" s="211"/>
      <c r="AZ2" s="211"/>
      <c r="BA2" s="211"/>
      <c r="BB2" s="211"/>
    </row>
    <row r="3" spans="19:54" ht="38.25" customHeight="1" thickBot="1">
      <c r="S3" s="181"/>
      <c r="T3" s="181"/>
      <c r="U3" s="181"/>
      <c r="V3" s="181"/>
      <c r="W3" s="181"/>
      <c r="X3" s="186"/>
      <c r="Y3" s="187"/>
      <c r="Z3" s="90" t="s">
        <v>65</v>
      </c>
      <c r="AA3" s="6"/>
      <c r="AC3" s="188" t="s">
        <v>6</v>
      </c>
      <c r="AD3" s="189"/>
      <c r="AE3" s="212"/>
      <c r="AF3" s="190" t="s">
        <v>81</v>
      </c>
      <c r="AG3" s="191"/>
      <c r="AH3" s="192"/>
      <c r="AI3" s="199" t="s">
        <v>7</v>
      </c>
      <c r="AJ3" s="200"/>
      <c r="AK3" s="200"/>
      <c r="AL3" s="201"/>
      <c r="AM3" s="202" t="s">
        <v>82</v>
      </c>
      <c r="AN3" s="202"/>
      <c r="AO3" s="202"/>
      <c r="AP3" s="202"/>
      <c r="AQ3" s="203" t="s">
        <v>4</v>
      </c>
      <c r="AR3" s="204"/>
      <c r="AS3" s="204"/>
      <c r="AT3" s="214"/>
      <c r="AU3" s="215" t="s">
        <v>80</v>
      </c>
      <c r="AV3" s="216"/>
      <c r="AW3" s="217"/>
      <c r="AX3" s="211"/>
      <c r="AY3" s="211"/>
      <c r="AZ3" s="211"/>
      <c r="BA3" s="211"/>
      <c r="BB3" s="211"/>
    </row>
    <row r="4" spans="19:54" ht="34.5" customHeight="1" thickBot="1">
      <c r="S4" s="225" t="s">
        <v>8</v>
      </c>
      <c r="T4" s="226"/>
      <c r="U4" s="226"/>
      <c r="V4" s="226"/>
      <c r="W4" s="226"/>
      <c r="X4" s="227"/>
      <c r="Y4" s="227"/>
      <c r="Z4" s="228"/>
      <c r="AA4" s="229" t="s">
        <v>9</v>
      </c>
      <c r="AB4" s="230"/>
      <c r="AC4" s="231" t="s">
        <v>10</v>
      </c>
      <c r="AD4" s="232"/>
      <c r="AE4" s="233" t="s">
        <v>11</v>
      </c>
      <c r="AF4" s="234"/>
      <c r="AG4" s="234"/>
      <c r="AH4" s="234"/>
      <c r="AI4" s="234"/>
      <c r="AJ4" s="235"/>
      <c r="AK4" s="7"/>
      <c r="AL4" s="236" t="s">
        <v>12</v>
      </c>
      <c r="AM4" s="237"/>
      <c r="AN4" s="237"/>
      <c r="AO4" s="237"/>
      <c r="AP4" s="237"/>
      <c r="AQ4" s="237"/>
      <c r="AR4" s="8"/>
      <c r="AS4" s="238" t="s">
        <v>13</v>
      </c>
      <c r="AT4" s="239"/>
      <c r="AU4" s="239"/>
      <c r="AV4" s="239"/>
      <c r="AW4" s="240"/>
      <c r="AX4" s="218" t="s">
        <v>14</v>
      </c>
      <c r="AY4" s="219"/>
      <c r="AZ4" s="219"/>
      <c r="BA4" s="219"/>
      <c r="BB4" s="220"/>
    </row>
    <row r="5" spans="19:54" ht="52.5" customHeight="1">
      <c r="S5" s="246" t="s">
        <v>15</v>
      </c>
      <c r="T5" s="248" t="s">
        <v>16</v>
      </c>
      <c r="U5" s="248" t="s">
        <v>17</v>
      </c>
      <c r="V5" s="248" t="s">
        <v>18</v>
      </c>
      <c r="W5" s="248" t="s">
        <v>19</v>
      </c>
      <c r="X5" s="248" t="s">
        <v>20</v>
      </c>
      <c r="Y5" s="248" t="s">
        <v>21</v>
      </c>
      <c r="Z5" s="250" t="s">
        <v>22</v>
      </c>
      <c r="AA5" s="252" t="s">
        <v>23</v>
      </c>
      <c r="AB5" s="270" t="s">
        <v>9</v>
      </c>
      <c r="AC5" s="272" t="s">
        <v>24</v>
      </c>
      <c r="AD5" s="272" t="s">
        <v>25</v>
      </c>
      <c r="AE5" s="274" t="s">
        <v>26</v>
      </c>
      <c r="AF5" s="209" t="s">
        <v>27</v>
      </c>
      <c r="AG5" s="209" t="s">
        <v>28</v>
      </c>
      <c r="AH5" s="263" t="s">
        <v>29</v>
      </c>
      <c r="AI5" s="263" t="s">
        <v>30</v>
      </c>
      <c r="AJ5" s="265" t="s">
        <v>31</v>
      </c>
      <c r="AK5" s="267" t="s">
        <v>32</v>
      </c>
      <c r="AL5" s="268"/>
      <c r="AM5" s="268"/>
      <c r="AN5" s="268"/>
      <c r="AO5" s="268"/>
      <c r="AP5" s="268"/>
      <c r="AQ5" s="268"/>
      <c r="AR5" s="269"/>
      <c r="AS5" s="259" t="s">
        <v>33</v>
      </c>
      <c r="AT5" s="259" t="s">
        <v>34</v>
      </c>
      <c r="AU5" s="259" t="s">
        <v>35</v>
      </c>
      <c r="AV5" s="259" t="s">
        <v>66</v>
      </c>
      <c r="AW5" s="261" t="s">
        <v>36</v>
      </c>
      <c r="AX5" s="252" t="s">
        <v>37</v>
      </c>
      <c r="AY5" s="221" t="s">
        <v>38</v>
      </c>
      <c r="AZ5" s="221" t="s">
        <v>39</v>
      </c>
      <c r="BA5" s="221" t="s">
        <v>40</v>
      </c>
      <c r="BB5" s="223" t="s">
        <v>41</v>
      </c>
    </row>
    <row r="6" spans="19:54" ht="27.95" customHeight="1" thickBot="1">
      <c r="S6" s="247"/>
      <c r="T6" s="249"/>
      <c r="U6" s="249"/>
      <c r="V6" s="249"/>
      <c r="W6" s="249"/>
      <c r="X6" s="249"/>
      <c r="Y6" s="249"/>
      <c r="Z6" s="251"/>
      <c r="AA6" s="253"/>
      <c r="AB6" s="271"/>
      <c r="AC6" s="273"/>
      <c r="AD6" s="273"/>
      <c r="AE6" s="275"/>
      <c r="AF6" s="210"/>
      <c r="AG6" s="210"/>
      <c r="AH6" s="264"/>
      <c r="AI6" s="264"/>
      <c r="AJ6" s="266"/>
      <c r="AK6" s="9">
        <v>1</v>
      </c>
      <c r="AL6" s="10">
        <v>2</v>
      </c>
      <c r="AM6" s="10">
        <v>3</v>
      </c>
      <c r="AN6" s="10">
        <v>4</v>
      </c>
      <c r="AO6" s="10">
        <v>5</v>
      </c>
      <c r="AP6" s="10">
        <v>6</v>
      </c>
      <c r="AQ6" s="10">
        <v>12</v>
      </c>
      <c r="AR6" s="11"/>
      <c r="AS6" s="260"/>
      <c r="AT6" s="260"/>
      <c r="AU6" s="260"/>
      <c r="AV6" s="260"/>
      <c r="AW6" s="262"/>
      <c r="AX6" s="253"/>
      <c r="AY6" s="222"/>
      <c r="AZ6" s="222"/>
      <c r="BA6" s="222"/>
      <c r="BB6" s="224"/>
    </row>
    <row r="7" spans="19:54" s="34" customFormat="1" ht="48" customHeight="1" thickBot="1">
      <c r="S7" s="12">
        <v>1</v>
      </c>
      <c r="T7" s="241" t="s">
        <v>1</v>
      </c>
      <c r="U7" s="13"/>
      <c r="V7" s="14"/>
      <c r="W7" s="15"/>
      <c r="X7" s="16"/>
      <c r="Y7" s="17"/>
      <c r="Z7" s="18">
        <f t="shared" ref="Z7:Z15" si="0">IF(Y7&lt;X7,1+Y7-X7,Y7-X7)</f>
        <v>0</v>
      </c>
      <c r="AA7" s="19"/>
      <c r="AB7" s="20"/>
      <c r="AC7" s="21"/>
      <c r="AD7" s="100"/>
      <c r="AE7" s="22"/>
      <c r="AF7" s="23"/>
      <c r="AG7" s="23"/>
      <c r="AH7" s="23"/>
      <c r="AI7" s="23"/>
      <c r="AJ7" s="24"/>
      <c r="AK7" s="25"/>
      <c r="AL7" s="26"/>
      <c r="AM7" s="26"/>
      <c r="AN7" s="26"/>
      <c r="AO7" s="26"/>
      <c r="AP7" s="26"/>
      <c r="AQ7" s="26"/>
      <c r="AR7" s="27"/>
      <c r="AS7" s="28"/>
      <c r="AT7" s="13"/>
      <c r="AU7" s="13"/>
      <c r="AV7" s="13"/>
      <c r="AW7" s="29"/>
      <c r="AX7" s="30">
        <f t="shared" ref="AX7:AX15" si="1">SUM(AY7:BB7)</f>
        <v>0</v>
      </c>
      <c r="AY7" s="31">
        <v>0</v>
      </c>
      <c r="AZ7" s="32">
        <v>0</v>
      </c>
      <c r="BA7" s="31">
        <v>0</v>
      </c>
      <c r="BB7" s="33">
        <f t="shared" ref="BB7:BB15" si="2">SUM(($AQ$6*AQ7+$AP$6*AP7+$AN$6*AN7+$AM$6*$AM7+$AL$6*AL7+$AK$6*AK7+$AO$6*AO7+$AR$6*AR7)*175)</f>
        <v>0</v>
      </c>
    </row>
    <row r="8" spans="19:54" s="34" customFormat="1" ht="48" customHeight="1" thickBot="1">
      <c r="S8" s="12">
        <v>2</v>
      </c>
      <c r="T8" s="242"/>
      <c r="U8" s="35"/>
      <c r="V8" s="122"/>
      <c r="W8" s="122"/>
      <c r="X8" s="36"/>
      <c r="Y8" s="36"/>
      <c r="Z8" s="37">
        <f t="shared" si="0"/>
        <v>0</v>
      </c>
      <c r="AA8" s="38"/>
      <c r="AB8" s="39"/>
      <c r="AC8" s="40"/>
      <c r="AD8" s="101"/>
      <c r="AE8" s="41"/>
      <c r="AF8" s="42"/>
      <c r="AG8" s="42"/>
      <c r="AH8" s="42"/>
      <c r="AI8" s="42"/>
      <c r="AJ8" s="43"/>
      <c r="AK8" s="44"/>
      <c r="AL8" s="45"/>
      <c r="AM8" s="45"/>
      <c r="AN8" s="45"/>
      <c r="AO8" s="45"/>
      <c r="AP8" s="45"/>
      <c r="AQ8" s="45"/>
      <c r="AR8" s="46"/>
      <c r="AS8" s="47"/>
      <c r="AT8" s="35"/>
      <c r="AU8" s="35"/>
      <c r="AV8" s="35"/>
      <c r="AW8" s="48"/>
      <c r="AX8" s="49">
        <f t="shared" si="1"/>
        <v>0</v>
      </c>
      <c r="AY8" s="50">
        <v>0</v>
      </c>
      <c r="AZ8" s="51">
        <v>0</v>
      </c>
      <c r="BA8" s="52">
        <v>0</v>
      </c>
      <c r="BB8" s="53">
        <f t="shared" si="2"/>
        <v>0</v>
      </c>
    </row>
    <row r="9" spans="19:54" s="34" customFormat="1" ht="48" customHeight="1" thickBot="1">
      <c r="S9" s="12">
        <v>3</v>
      </c>
      <c r="T9" s="242"/>
      <c r="U9" s="35"/>
      <c r="V9" s="122"/>
      <c r="W9" s="122"/>
      <c r="X9" s="36"/>
      <c r="Y9" s="36"/>
      <c r="Z9" s="37">
        <f t="shared" si="0"/>
        <v>0</v>
      </c>
      <c r="AA9" s="38"/>
      <c r="AB9" s="39"/>
      <c r="AC9" s="40"/>
      <c r="AD9" s="101"/>
      <c r="AE9" s="41"/>
      <c r="AF9" s="42"/>
      <c r="AG9" s="42"/>
      <c r="AH9" s="42"/>
      <c r="AI9" s="42"/>
      <c r="AJ9" s="43"/>
      <c r="AK9" s="44"/>
      <c r="AL9" s="45"/>
      <c r="AM9" s="45"/>
      <c r="AN9" s="45"/>
      <c r="AO9" s="45"/>
      <c r="AP9" s="45"/>
      <c r="AQ9" s="45"/>
      <c r="AR9" s="46"/>
      <c r="AS9" s="47"/>
      <c r="AT9" s="35"/>
      <c r="AU9" s="35"/>
      <c r="AV9" s="35"/>
      <c r="AW9" s="48"/>
      <c r="AX9" s="49">
        <f t="shared" si="1"/>
        <v>0</v>
      </c>
      <c r="AY9" s="51">
        <v>0</v>
      </c>
      <c r="AZ9" s="52">
        <v>0</v>
      </c>
      <c r="BA9" s="51">
        <v>0</v>
      </c>
      <c r="BB9" s="53">
        <f t="shared" si="2"/>
        <v>0</v>
      </c>
    </row>
    <row r="10" spans="19:54" s="34" customFormat="1" ht="48" customHeight="1" thickBot="1">
      <c r="S10" s="12">
        <v>4</v>
      </c>
      <c r="T10" s="243" t="s">
        <v>5</v>
      </c>
      <c r="U10" s="35"/>
      <c r="V10" s="150"/>
      <c r="W10" s="150"/>
      <c r="X10" s="36"/>
      <c r="Y10" s="36"/>
      <c r="Z10" s="37">
        <f t="shared" si="0"/>
        <v>0</v>
      </c>
      <c r="AA10" s="38"/>
      <c r="AB10" s="39"/>
      <c r="AC10" s="147"/>
      <c r="AD10" s="101"/>
      <c r="AE10" s="41"/>
      <c r="AF10" s="42"/>
      <c r="AG10" s="42"/>
      <c r="AH10" s="42"/>
      <c r="AI10" s="42"/>
      <c r="AJ10" s="43"/>
      <c r="AK10" s="44"/>
      <c r="AL10" s="45"/>
      <c r="AM10" s="45"/>
      <c r="AN10" s="45"/>
      <c r="AO10" s="45"/>
      <c r="AP10" s="45"/>
      <c r="AQ10" s="45"/>
      <c r="AR10" s="46"/>
      <c r="AS10" s="47"/>
      <c r="AT10" s="35"/>
      <c r="AU10" s="35"/>
      <c r="AV10" s="35"/>
      <c r="AW10" s="48"/>
      <c r="AX10" s="49">
        <f t="shared" si="1"/>
        <v>0</v>
      </c>
      <c r="AY10" s="51">
        <v>0</v>
      </c>
      <c r="AZ10" s="52">
        <v>0</v>
      </c>
      <c r="BA10" s="51">
        <v>0</v>
      </c>
      <c r="BB10" s="53">
        <f t="shared" si="2"/>
        <v>0</v>
      </c>
    </row>
    <row r="11" spans="19:54" s="34" customFormat="1" ht="48" customHeight="1" thickBot="1">
      <c r="S11" s="12">
        <v>5</v>
      </c>
      <c r="T11" s="243"/>
      <c r="U11" s="35"/>
      <c r="V11" s="150"/>
      <c r="W11" s="150"/>
      <c r="X11" s="36"/>
      <c r="Y11" s="36"/>
      <c r="Z11" s="37">
        <f t="shared" si="0"/>
        <v>0</v>
      </c>
      <c r="AA11" s="38"/>
      <c r="AB11" s="39"/>
      <c r="AC11" s="147"/>
      <c r="AD11" s="101"/>
      <c r="AE11" s="41"/>
      <c r="AF11" s="42"/>
      <c r="AG11" s="42"/>
      <c r="AH11" s="42"/>
      <c r="AI11" s="42"/>
      <c r="AJ11" s="43"/>
      <c r="AK11" s="44"/>
      <c r="AL11" s="45"/>
      <c r="AM11" s="45"/>
      <c r="AN11" s="45"/>
      <c r="AO11" s="45"/>
      <c r="AP11" s="45"/>
      <c r="AQ11" s="45"/>
      <c r="AR11" s="46"/>
      <c r="AS11" s="47"/>
      <c r="AT11" s="35"/>
      <c r="AU11" s="35"/>
      <c r="AV11" s="35"/>
      <c r="AW11" s="48"/>
      <c r="AX11" s="49">
        <f t="shared" si="1"/>
        <v>0</v>
      </c>
      <c r="AY11" s="50">
        <v>0</v>
      </c>
      <c r="AZ11" s="51">
        <v>0</v>
      </c>
      <c r="BA11" s="52">
        <v>0</v>
      </c>
      <c r="BB11" s="53">
        <f t="shared" si="2"/>
        <v>0</v>
      </c>
    </row>
    <row r="12" spans="19:54" s="34" customFormat="1" ht="48" customHeight="1" thickBot="1">
      <c r="S12" s="12">
        <v>10</v>
      </c>
      <c r="T12" s="243"/>
      <c r="U12" s="35"/>
      <c r="V12" s="150"/>
      <c r="W12" s="150"/>
      <c r="X12" s="36"/>
      <c r="Y12" s="120"/>
      <c r="Z12" s="55">
        <f t="shared" si="0"/>
        <v>0</v>
      </c>
      <c r="AA12" s="19"/>
      <c r="AB12" s="20"/>
      <c r="AC12" s="149"/>
      <c r="AD12" s="101"/>
      <c r="AE12" s="41"/>
      <c r="AF12" s="42"/>
      <c r="AG12" s="42"/>
      <c r="AH12" s="42"/>
      <c r="AI12" s="42"/>
      <c r="AJ12" s="43"/>
      <c r="AK12" s="44"/>
      <c r="AL12" s="45"/>
      <c r="AM12" s="45"/>
      <c r="AN12" s="45"/>
      <c r="AO12" s="45"/>
      <c r="AP12" s="45"/>
      <c r="AQ12" s="45"/>
      <c r="AR12" s="46"/>
      <c r="AS12" s="47"/>
      <c r="AT12" s="35"/>
      <c r="AU12" s="35"/>
      <c r="AV12" s="35"/>
      <c r="AW12" s="48"/>
      <c r="AX12" s="30">
        <f t="shared" si="1"/>
        <v>0</v>
      </c>
      <c r="AY12" s="31">
        <v>0</v>
      </c>
      <c r="AZ12" s="32">
        <v>0</v>
      </c>
      <c r="BA12" s="31">
        <v>0</v>
      </c>
      <c r="BB12" s="56">
        <f t="shared" si="2"/>
        <v>0</v>
      </c>
    </row>
    <row r="13" spans="19:54" s="34" customFormat="1" ht="48" customHeight="1" thickBot="1">
      <c r="S13" s="12">
        <v>11</v>
      </c>
      <c r="T13" s="244" t="s">
        <v>65</v>
      </c>
      <c r="U13" s="35"/>
      <c r="V13" s="122"/>
      <c r="W13" s="122"/>
      <c r="X13" s="36"/>
      <c r="Y13" s="36"/>
      <c r="Z13" s="37">
        <f t="shared" si="0"/>
        <v>0</v>
      </c>
      <c r="AA13" s="38"/>
      <c r="AB13" s="39"/>
      <c r="AC13" s="147"/>
      <c r="AD13" s="101"/>
      <c r="AE13" s="41"/>
      <c r="AF13" s="42"/>
      <c r="AG13" s="42"/>
      <c r="AH13" s="42"/>
      <c r="AI13" s="42"/>
      <c r="AJ13" s="43"/>
      <c r="AK13" s="44"/>
      <c r="AL13" s="45"/>
      <c r="AM13" s="45"/>
      <c r="AN13" s="45"/>
      <c r="AO13" s="45"/>
      <c r="AP13" s="45"/>
      <c r="AQ13" s="45"/>
      <c r="AR13" s="46"/>
      <c r="AS13" s="47"/>
      <c r="AT13" s="35"/>
      <c r="AU13" s="35"/>
      <c r="AV13" s="35"/>
      <c r="AW13" s="48"/>
      <c r="AX13" s="49">
        <f t="shared" si="1"/>
        <v>0</v>
      </c>
      <c r="AY13" s="50">
        <v>0</v>
      </c>
      <c r="AZ13" s="51">
        <v>0</v>
      </c>
      <c r="BA13" s="52">
        <v>0</v>
      </c>
      <c r="BB13" s="57">
        <f t="shared" si="2"/>
        <v>0</v>
      </c>
    </row>
    <row r="14" spans="19:54" s="34" customFormat="1" ht="48" customHeight="1" thickBot="1">
      <c r="S14" s="12">
        <v>12</v>
      </c>
      <c r="T14" s="244"/>
      <c r="U14" s="35"/>
      <c r="V14" s="122"/>
      <c r="W14" s="122"/>
      <c r="X14" s="36"/>
      <c r="Y14" s="36"/>
      <c r="Z14" s="37">
        <f t="shared" si="0"/>
        <v>0</v>
      </c>
      <c r="AA14" s="38"/>
      <c r="AB14" s="39"/>
      <c r="AC14" s="147"/>
      <c r="AD14" s="101"/>
      <c r="AE14" s="41"/>
      <c r="AF14" s="42"/>
      <c r="AG14" s="42"/>
      <c r="AH14" s="42"/>
      <c r="AI14" s="42"/>
      <c r="AJ14" s="43"/>
      <c r="AK14" s="44"/>
      <c r="AL14" s="45"/>
      <c r="AM14" s="45"/>
      <c r="AN14" s="45"/>
      <c r="AO14" s="45"/>
      <c r="AP14" s="45"/>
      <c r="AQ14" s="45"/>
      <c r="AR14" s="46"/>
      <c r="AS14" s="47"/>
      <c r="AT14" s="35"/>
      <c r="AU14" s="35"/>
      <c r="AV14" s="35"/>
      <c r="AW14" s="48"/>
      <c r="AX14" s="49">
        <f t="shared" si="1"/>
        <v>0</v>
      </c>
      <c r="AY14" s="51">
        <v>0</v>
      </c>
      <c r="AZ14" s="52">
        <v>0</v>
      </c>
      <c r="BA14" s="51">
        <v>0</v>
      </c>
      <c r="BB14" s="57">
        <f t="shared" si="2"/>
        <v>0</v>
      </c>
    </row>
    <row r="15" spans="19:54" s="34" customFormat="1" ht="48" customHeight="1" thickBot="1">
      <c r="S15" s="12">
        <v>13</v>
      </c>
      <c r="T15" s="245"/>
      <c r="U15" s="58"/>
      <c r="V15" s="59"/>
      <c r="W15" s="59"/>
      <c r="X15" s="60"/>
      <c r="Y15" s="60"/>
      <c r="Z15" s="61">
        <f t="shared" si="0"/>
        <v>0</v>
      </c>
      <c r="AA15" s="62"/>
      <c r="AB15" s="63"/>
      <c r="AC15" s="148"/>
      <c r="AD15" s="102"/>
      <c r="AE15" s="65"/>
      <c r="AF15" s="66"/>
      <c r="AG15" s="67"/>
      <c r="AH15" s="67"/>
      <c r="AI15" s="67"/>
      <c r="AJ15" s="66"/>
      <c r="AK15" s="68"/>
      <c r="AL15" s="69"/>
      <c r="AM15" s="69"/>
      <c r="AN15" s="69"/>
      <c r="AO15" s="69"/>
      <c r="AP15" s="69"/>
      <c r="AQ15" s="69"/>
      <c r="AR15" s="70"/>
      <c r="AS15" s="71"/>
      <c r="AT15" s="35"/>
      <c r="AU15" s="35"/>
      <c r="AV15" s="35"/>
      <c r="AW15" s="48"/>
      <c r="AX15" s="49">
        <f t="shared" si="1"/>
        <v>0</v>
      </c>
      <c r="AY15" s="50">
        <v>0</v>
      </c>
      <c r="AZ15" s="51">
        <v>0</v>
      </c>
      <c r="BA15" s="52">
        <v>0</v>
      </c>
      <c r="BB15" s="57">
        <f t="shared" si="2"/>
        <v>0</v>
      </c>
    </row>
    <row r="16" spans="19:54" s="72" customFormat="1" ht="50.1" customHeight="1">
      <c r="S16" s="254" t="s">
        <v>42</v>
      </c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5" t="s">
        <v>53</v>
      </c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6" t="s">
        <v>43</v>
      </c>
      <c r="AU16" s="257"/>
      <c r="AV16" s="257"/>
      <c r="AW16" s="257"/>
      <c r="AX16" s="257"/>
      <c r="AY16" s="257"/>
      <c r="AZ16" s="257"/>
      <c r="BA16" s="257"/>
      <c r="BB16" s="258"/>
    </row>
    <row r="17" spans="18:62" s="72" customFormat="1" ht="60" customHeight="1">
      <c r="S17" s="73" t="s">
        <v>15</v>
      </c>
      <c r="T17" s="300" t="s">
        <v>44</v>
      </c>
      <c r="U17" s="301"/>
      <c r="V17" s="302" t="s">
        <v>45</v>
      </c>
      <c r="W17" s="303"/>
      <c r="X17" s="74" t="s">
        <v>46</v>
      </c>
      <c r="Y17" s="75" t="s">
        <v>67</v>
      </c>
      <c r="Z17" s="304" t="s">
        <v>47</v>
      </c>
      <c r="AA17" s="304"/>
      <c r="AB17" s="304"/>
      <c r="AC17" s="304"/>
      <c r="AD17" s="304"/>
      <c r="AE17" s="304"/>
      <c r="AF17" s="304"/>
      <c r="AG17" s="305" t="s">
        <v>48</v>
      </c>
      <c r="AH17" s="306"/>
      <c r="AI17" s="307" t="s">
        <v>49</v>
      </c>
      <c r="AJ17" s="307"/>
      <c r="AK17" s="92"/>
      <c r="AL17" s="308" t="s">
        <v>68</v>
      </c>
      <c r="AM17" s="309"/>
      <c r="AN17" s="310"/>
      <c r="AO17" s="288" t="s">
        <v>50</v>
      </c>
      <c r="AP17" s="289"/>
      <c r="AQ17" s="289"/>
      <c r="AR17" s="289"/>
      <c r="AS17" s="289"/>
      <c r="AT17" s="76" t="s">
        <v>51</v>
      </c>
      <c r="AU17" s="290" t="s">
        <v>33</v>
      </c>
      <c r="AV17" s="291"/>
      <c r="AW17" s="77" t="s">
        <v>34</v>
      </c>
      <c r="AX17" s="77" t="s">
        <v>66</v>
      </c>
      <c r="AY17" s="77" t="s">
        <v>35</v>
      </c>
      <c r="AZ17" s="77" t="s">
        <v>36</v>
      </c>
      <c r="BA17" s="292" t="s">
        <v>52</v>
      </c>
      <c r="BB17" s="293"/>
    </row>
    <row r="18" spans="18:62" ht="60.75" customHeight="1">
      <c r="S18" s="78">
        <v>1</v>
      </c>
      <c r="T18" s="294"/>
      <c r="U18" s="295"/>
      <c r="V18" s="280"/>
      <c r="W18" s="281"/>
      <c r="X18" s="79" t="str">
        <f>TEXT(MOD(V18-T18,1),"h:mm")</f>
        <v>0:00</v>
      </c>
      <c r="Y18" s="80"/>
      <c r="Z18" s="327"/>
      <c r="AA18" s="327"/>
      <c r="AB18" s="327"/>
      <c r="AC18" s="327"/>
      <c r="AD18" s="327"/>
      <c r="AE18" s="327"/>
      <c r="AF18" s="327"/>
      <c r="AG18" s="296">
        <f>SUM(AX7:AX9)</f>
        <v>0</v>
      </c>
      <c r="AH18" s="297"/>
      <c r="AI18" s="298">
        <f>SUM(AX10:AX12)</f>
        <v>0</v>
      </c>
      <c r="AJ18" s="298"/>
      <c r="AK18" s="93"/>
      <c r="AL18" s="298">
        <f>SUM(AX13:AX15)</f>
        <v>0</v>
      </c>
      <c r="AM18" s="298"/>
      <c r="AN18" s="298"/>
      <c r="AO18" s="299">
        <f>SUM(AG18:AN18)</f>
        <v>0</v>
      </c>
      <c r="AP18" s="299"/>
      <c r="AQ18" s="299"/>
      <c r="AR18" s="299"/>
      <c r="AS18" s="299"/>
      <c r="AT18" s="81" t="s">
        <v>1</v>
      </c>
      <c r="AU18" s="276">
        <f>SUM(AS7:AS9)</f>
        <v>0</v>
      </c>
      <c r="AV18" s="277"/>
      <c r="AW18" s="82">
        <f>SUM(AT7:AT9)</f>
        <v>0</v>
      </c>
      <c r="AX18" s="82">
        <f>SUM(AV7:AV9)</f>
        <v>0</v>
      </c>
      <c r="AY18" s="82">
        <f>SUM(AU7:AU9)</f>
        <v>0</v>
      </c>
      <c r="AZ18" s="82">
        <f>SUM(AW7:AW9)</f>
        <v>0</v>
      </c>
      <c r="BA18" s="276">
        <f>SUM(AU18:AZ18)</f>
        <v>0</v>
      </c>
      <c r="BB18" s="277"/>
    </row>
    <row r="19" spans="18:62" ht="60.75" customHeight="1">
      <c r="S19" s="78">
        <v>2</v>
      </c>
      <c r="T19" s="278"/>
      <c r="U19" s="279"/>
      <c r="V19" s="280"/>
      <c r="W19" s="281"/>
      <c r="X19" s="79" t="str">
        <f>TEXT(MOD(V19-T19,1),"h:mm")</f>
        <v>0:00</v>
      </c>
      <c r="Y19" s="80"/>
      <c r="Z19" s="318"/>
      <c r="AA19" s="318"/>
      <c r="AB19" s="318"/>
      <c r="AC19" s="318"/>
      <c r="AD19" s="318"/>
      <c r="AE19" s="318"/>
      <c r="AF19" s="318"/>
      <c r="AG19" s="283" t="s">
        <v>41</v>
      </c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5"/>
      <c r="AT19" s="83" t="s">
        <v>5</v>
      </c>
      <c r="AU19" s="286">
        <f>SUM(AS10:AS12)</f>
        <v>0</v>
      </c>
      <c r="AV19" s="287"/>
      <c r="AW19" s="84">
        <f>SUM(AT10:AT12)</f>
        <v>0</v>
      </c>
      <c r="AX19" s="84">
        <f>SUM(AV10:AV12)</f>
        <v>0</v>
      </c>
      <c r="AY19" s="84">
        <f>SUM(AU10:AU12)</f>
        <v>0</v>
      </c>
      <c r="AZ19" s="84">
        <f>SUM(AW10:AW12)</f>
        <v>0</v>
      </c>
      <c r="BA19" s="286">
        <f>SUM(AU19:AZ19)</f>
        <v>0</v>
      </c>
      <c r="BB19" s="287"/>
    </row>
    <row r="20" spans="18:62" ht="60.75" customHeight="1">
      <c r="S20" s="78">
        <v>3</v>
      </c>
      <c r="T20" s="278"/>
      <c r="U20" s="279"/>
      <c r="V20" s="280"/>
      <c r="W20" s="281"/>
      <c r="X20" s="79" t="str">
        <f>TEXT(MOD(V20-T20,1),"h:mm")</f>
        <v>0:00</v>
      </c>
      <c r="Y20" s="80"/>
      <c r="Z20" s="318"/>
      <c r="AA20" s="318"/>
      <c r="AB20" s="318"/>
      <c r="AC20" s="318"/>
      <c r="AD20" s="318"/>
      <c r="AE20" s="318"/>
      <c r="AF20" s="318"/>
      <c r="AG20" s="311">
        <f>SUM(BB7:BB9)</f>
        <v>0</v>
      </c>
      <c r="AH20" s="328"/>
      <c r="AI20" s="311">
        <f>SUM(BB10:BB12)</f>
        <v>0</v>
      </c>
      <c r="AJ20" s="328"/>
      <c r="AK20" s="94"/>
      <c r="AL20" s="311">
        <f>SUM(BB13:BB15)</f>
        <v>0</v>
      </c>
      <c r="AM20" s="329"/>
      <c r="AN20" s="328"/>
      <c r="AO20" s="311">
        <f>SUM(AG20:AN20)</f>
        <v>0</v>
      </c>
      <c r="AP20" s="312"/>
      <c r="AQ20" s="312"/>
      <c r="AR20" s="312"/>
      <c r="AS20" s="313"/>
      <c r="AT20" s="91" t="s">
        <v>65</v>
      </c>
      <c r="AU20" s="314">
        <f>SUM(AS13:AS15)</f>
        <v>0</v>
      </c>
      <c r="AV20" s="315"/>
      <c r="AW20" s="99">
        <f>SUM(AT13:AT15)</f>
        <v>0</v>
      </c>
      <c r="AX20" s="99">
        <f>SUM(AV13:AV15)</f>
        <v>0</v>
      </c>
      <c r="AY20" s="99">
        <f>SUM(AU13:AU15)</f>
        <v>0</v>
      </c>
      <c r="AZ20" s="99">
        <f>SUM(AW13:AW15)</f>
        <v>0</v>
      </c>
      <c r="BA20" s="316">
        <f>SUM(AU20:AZ20)</f>
        <v>0</v>
      </c>
      <c r="BB20" s="317"/>
    </row>
    <row r="21" spans="18:62" ht="60.75" customHeight="1">
      <c r="S21" s="78">
        <v>4</v>
      </c>
      <c r="T21" s="278"/>
      <c r="U21" s="279"/>
      <c r="V21" s="280"/>
      <c r="W21" s="281"/>
      <c r="X21" s="79" t="str">
        <f>TEXT(MOD(V21-T21,1),"h:mm")</f>
        <v>0:00</v>
      </c>
      <c r="Y21" s="80"/>
      <c r="Z21" s="318"/>
      <c r="AA21" s="318"/>
      <c r="AB21" s="318"/>
      <c r="AC21" s="318"/>
      <c r="AD21" s="318"/>
      <c r="AE21" s="318"/>
      <c r="AF21" s="318"/>
      <c r="AG21" s="319" t="s">
        <v>54</v>
      </c>
      <c r="AH21" s="320"/>
      <c r="AI21" s="320"/>
      <c r="AJ21" s="320"/>
      <c r="AK21" s="320"/>
      <c r="AL21" s="320"/>
      <c r="AM21" s="320"/>
      <c r="AN21" s="320"/>
      <c r="AO21" s="320"/>
      <c r="AP21" s="320"/>
      <c r="AQ21" s="320"/>
      <c r="AR21" s="320"/>
      <c r="AS21" s="321"/>
      <c r="AT21" s="322" t="s">
        <v>55</v>
      </c>
      <c r="AU21" s="323"/>
      <c r="AV21" s="324"/>
      <c r="AW21" s="325">
        <v>1680</v>
      </c>
      <c r="AX21" s="326"/>
      <c r="AY21" s="322" t="s">
        <v>56</v>
      </c>
      <c r="AZ21" s="324"/>
      <c r="BA21" s="330">
        <v>1628</v>
      </c>
      <c r="BB21" s="331"/>
    </row>
    <row r="22" spans="18:62" ht="54" customHeight="1">
      <c r="S22" s="78">
        <v>5</v>
      </c>
      <c r="T22" s="278"/>
      <c r="U22" s="279"/>
      <c r="V22" s="280"/>
      <c r="W22" s="281"/>
      <c r="X22" s="79" t="str">
        <f>TEXT(MOD(V22-T22,1),"h:mm")</f>
        <v>0:00</v>
      </c>
      <c r="Y22" s="80"/>
      <c r="Z22" s="318"/>
      <c r="AA22" s="318"/>
      <c r="AB22" s="318"/>
      <c r="AC22" s="318"/>
      <c r="AD22" s="318"/>
      <c r="AE22" s="318"/>
      <c r="AF22" s="318"/>
      <c r="AG22" s="357">
        <f>SUM(AY7:BA9)</f>
        <v>0</v>
      </c>
      <c r="AH22" s="357"/>
      <c r="AI22" s="298">
        <f>SUM(AY10:BA12)</f>
        <v>0</v>
      </c>
      <c r="AJ22" s="298"/>
      <c r="AK22" s="95"/>
      <c r="AL22" s="358">
        <f>SUM(AY13:BA15)</f>
        <v>0</v>
      </c>
      <c r="AM22" s="358"/>
      <c r="AN22" s="359"/>
      <c r="AO22" s="360">
        <f>SUM(AG22:AN22)</f>
        <v>0</v>
      </c>
      <c r="AP22" s="361"/>
      <c r="AQ22" s="361"/>
      <c r="AR22" s="361"/>
      <c r="AS22" s="362"/>
      <c r="AT22" s="98" t="s">
        <v>69</v>
      </c>
      <c r="AU22" s="363" t="s">
        <v>48</v>
      </c>
      <c r="AV22" s="364"/>
      <c r="AW22" s="365" t="s">
        <v>49</v>
      </c>
      <c r="AX22" s="366"/>
      <c r="AY22" s="332" t="s">
        <v>68</v>
      </c>
      <c r="AZ22" s="333"/>
      <c r="BA22" s="334" t="s">
        <v>57</v>
      </c>
      <c r="BB22" s="335"/>
    </row>
    <row r="23" spans="18:62" ht="59.25" customHeight="1">
      <c r="S23" s="336" t="s">
        <v>61</v>
      </c>
      <c r="T23" s="337"/>
      <c r="U23" s="337"/>
      <c r="V23" s="337"/>
      <c r="W23" s="338"/>
      <c r="X23" s="85">
        <f>SUM(X18+X19+X20+X21+X22)</f>
        <v>0</v>
      </c>
      <c r="Y23" s="121" t="s">
        <v>62</v>
      </c>
      <c r="Z23" s="86"/>
      <c r="AA23" s="87"/>
      <c r="AB23" s="87"/>
      <c r="AC23" s="339" t="s">
        <v>63</v>
      </c>
      <c r="AD23" s="339"/>
      <c r="AE23" s="340"/>
      <c r="AF23" s="341"/>
      <c r="AG23" s="342" t="s">
        <v>22</v>
      </c>
      <c r="AH23" s="343"/>
      <c r="AI23" s="344"/>
      <c r="AJ23" s="345" t="s">
        <v>48</v>
      </c>
      <c r="AK23" s="346"/>
      <c r="AL23" s="346"/>
      <c r="AM23" s="347"/>
      <c r="AN23" s="348" t="s">
        <v>49</v>
      </c>
      <c r="AO23" s="348"/>
      <c r="AP23" s="348"/>
      <c r="AQ23" s="349" t="s">
        <v>68</v>
      </c>
      <c r="AR23" s="350"/>
      <c r="AS23" s="351"/>
      <c r="AT23" s="96" t="s">
        <v>60</v>
      </c>
      <c r="AU23" s="352">
        <f>SUM(AQ7:AQ9)</f>
        <v>0</v>
      </c>
      <c r="AV23" s="353"/>
      <c r="AW23" s="352">
        <f>SUM(AQ10:AQ12)</f>
        <v>0</v>
      </c>
      <c r="AX23" s="354"/>
      <c r="AY23" s="352">
        <f>SUM(AQ13:AQ15)</f>
        <v>0</v>
      </c>
      <c r="AZ23" s="353"/>
      <c r="BA23" s="355">
        <f>SUM(AU23:AZ23)</f>
        <v>0</v>
      </c>
      <c r="BB23" s="356"/>
    </row>
    <row r="24" spans="18:62" ht="57" customHeight="1">
      <c r="S24" s="367"/>
      <c r="T24" s="368"/>
      <c r="U24" s="368"/>
      <c r="V24" s="368"/>
      <c r="W24" s="369"/>
      <c r="X24" s="373" t="s">
        <v>73</v>
      </c>
      <c r="Y24" s="104" t="s">
        <v>70</v>
      </c>
      <c r="Z24" s="105" t="s">
        <v>71</v>
      </c>
      <c r="AA24" s="103"/>
      <c r="AB24" s="103"/>
      <c r="AC24" s="375" t="s">
        <v>72</v>
      </c>
      <c r="AD24" s="376"/>
      <c r="AE24" s="377" t="s">
        <v>57</v>
      </c>
      <c r="AF24" s="378"/>
      <c r="AG24" s="379" t="s">
        <v>58</v>
      </c>
      <c r="AH24" s="380"/>
      <c r="AI24" s="381"/>
      <c r="AJ24" s="382">
        <f>AVERAGE(Z7:Z9)</f>
        <v>0</v>
      </c>
      <c r="AK24" s="383"/>
      <c r="AL24" s="383"/>
      <c r="AM24" s="383"/>
      <c r="AN24" s="382">
        <f>AVERAGE(Z10:Z11)</f>
        <v>0</v>
      </c>
      <c r="AO24" s="383"/>
      <c r="AP24" s="383"/>
      <c r="AQ24" s="382">
        <f>AVERAGE(Z13)</f>
        <v>0</v>
      </c>
      <c r="AR24" s="383"/>
      <c r="AS24" s="383"/>
      <c r="AT24" s="97" t="s">
        <v>64</v>
      </c>
      <c r="AU24" s="387">
        <f>SUM(AL7:AP9)</f>
        <v>0</v>
      </c>
      <c r="AV24" s="388"/>
      <c r="AW24" s="387">
        <f>SUM(AL10:AP12)</f>
        <v>0</v>
      </c>
      <c r="AX24" s="388"/>
      <c r="AY24" s="387">
        <f>SUM(AL13:AP15)</f>
        <v>0</v>
      </c>
      <c r="AZ24" s="388"/>
      <c r="BA24" s="389">
        <f>SUM(AU24:AZ24)</f>
        <v>0</v>
      </c>
      <c r="BB24" s="390"/>
    </row>
    <row r="25" spans="18:62" ht="52.5" customHeight="1">
      <c r="S25" s="370"/>
      <c r="T25" s="371"/>
      <c r="U25" s="371"/>
      <c r="V25" s="371"/>
      <c r="W25" s="372"/>
      <c r="X25" s="374"/>
      <c r="Y25" s="106">
        <f>SUM(AD7:AD9)</f>
        <v>0</v>
      </c>
      <c r="Z25" s="106">
        <f>SUM(AD10:AD12)</f>
        <v>0</v>
      </c>
      <c r="AA25" s="107"/>
      <c r="AB25" s="107"/>
      <c r="AC25" s="391">
        <f>SUM(AD13:AD15)</f>
        <v>0</v>
      </c>
      <c r="AD25" s="392"/>
      <c r="AE25" s="393">
        <f>SUM(Y25:AD25)</f>
        <v>0</v>
      </c>
      <c r="AF25" s="394"/>
      <c r="AG25" s="379" t="s">
        <v>59</v>
      </c>
      <c r="AH25" s="380"/>
      <c r="AI25" s="381"/>
      <c r="AJ25" s="382">
        <f>SUM(Z7:Z9)</f>
        <v>0</v>
      </c>
      <c r="AK25" s="383"/>
      <c r="AL25" s="383"/>
      <c r="AM25" s="383"/>
      <c r="AN25" s="382">
        <f>SUM(Z10:Z12)</f>
        <v>0</v>
      </c>
      <c r="AO25" s="383"/>
      <c r="AP25" s="383"/>
      <c r="AQ25" s="382">
        <f>SUM(Z13:Z15)</f>
        <v>0</v>
      </c>
      <c r="AR25" s="383"/>
      <c r="AS25" s="383"/>
      <c r="AT25" s="384"/>
      <c r="AU25" s="385"/>
      <c r="AV25" s="385"/>
      <c r="AW25" s="385"/>
      <c r="AX25" s="385"/>
      <c r="AY25" s="385"/>
      <c r="AZ25" s="385"/>
      <c r="BA25" s="385"/>
      <c r="BB25" s="386"/>
    </row>
    <row r="26" spans="18:62" ht="60.75" customHeight="1"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8:62" ht="30" customHeight="1"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8:62" ht="30" customHeight="1"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T28" s="4"/>
      <c r="AU28" s="4"/>
      <c r="AV28" s="4"/>
      <c r="AW28" s="4"/>
      <c r="AX28" s="4"/>
      <c r="AY28" s="4"/>
      <c r="AZ28" s="4"/>
      <c r="BA28" s="4"/>
    </row>
    <row r="29" spans="18:62" ht="30" customHeight="1"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T29" s="4"/>
      <c r="AU29" s="4"/>
      <c r="AV29" s="4"/>
      <c r="AW29" s="4"/>
      <c r="AX29" s="4"/>
      <c r="AY29" s="4"/>
      <c r="AZ29" s="4"/>
      <c r="BA29" s="4"/>
    </row>
    <row r="30" spans="18:62" ht="30" customHeight="1">
      <c r="R30" s="3"/>
      <c r="S30" s="3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T30" s="4"/>
      <c r="AU30" s="4"/>
      <c r="AV30" s="4"/>
      <c r="AW30" s="4"/>
      <c r="AX30" s="4"/>
      <c r="AY30" s="4"/>
      <c r="AZ30" s="4"/>
      <c r="BA30" s="4"/>
    </row>
    <row r="31" spans="18:62" ht="30" customHeight="1">
      <c r="R31" s="3"/>
      <c r="S31" s="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T31" s="4"/>
      <c r="AU31" s="4"/>
      <c r="AV31" s="4"/>
      <c r="AW31" s="4"/>
      <c r="AX31" s="4"/>
      <c r="AY31" s="4"/>
      <c r="AZ31" s="4"/>
      <c r="BA31" s="4"/>
    </row>
    <row r="32" spans="18:62" ht="15" customHeight="1">
      <c r="S32" s="3"/>
      <c r="BJ32" s="4">
        <v>8</v>
      </c>
    </row>
  </sheetData>
  <mergeCells count="145">
    <mergeCell ref="S1:W3"/>
    <mergeCell ref="X1:Y3"/>
    <mergeCell ref="AC1:AE1"/>
    <mergeCell ref="AF1:AH1"/>
    <mergeCell ref="AI1:AL1"/>
    <mergeCell ref="AM1:AP1"/>
    <mergeCell ref="AF3:AH3"/>
    <mergeCell ref="AI3:AL3"/>
    <mergeCell ref="AM3:AP3"/>
    <mergeCell ref="AQ1:AT1"/>
    <mergeCell ref="AU1:AW1"/>
    <mergeCell ref="AF5:AF6"/>
    <mergeCell ref="AG5:AG6"/>
    <mergeCell ref="AX1:BB3"/>
    <mergeCell ref="AC2:AE2"/>
    <mergeCell ref="AF2:AH2"/>
    <mergeCell ref="AI2:AL2"/>
    <mergeCell ref="AM2:AP2"/>
    <mergeCell ref="AQ2:AT2"/>
    <mergeCell ref="AU2:AW2"/>
    <mergeCell ref="AC3:AE3"/>
    <mergeCell ref="AQ3:AT3"/>
    <mergeCell ref="AU3:AW3"/>
    <mergeCell ref="AX4:BB4"/>
    <mergeCell ref="BA5:BA6"/>
    <mergeCell ref="BB5:BB6"/>
    <mergeCell ref="S4:Z4"/>
    <mergeCell ref="AA4:AB4"/>
    <mergeCell ref="AC4:AD4"/>
    <mergeCell ref="AE4:AJ4"/>
    <mergeCell ref="AL4:AQ4"/>
    <mergeCell ref="AS4:AW4"/>
    <mergeCell ref="T7:T9"/>
    <mergeCell ref="T10:T12"/>
    <mergeCell ref="T13:T15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S16:AF16"/>
    <mergeCell ref="AG16:AS16"/>
    <mergeCell ref="AT16:BB16"/>
    <mergeCell ref="AU5:AU6"/>
    <mergeCell ref="AV5:AV6"/>
    <mergeCell ref="AW5:AW6"/>
    <mergeCell ref="AX5:AX6"/>
    <mergeCell ref="AY5:AY6"/>
    <mergeCell ref="AZ5:AZ6"/>
    <mergeCell ref="AH5:AH6"/>
    <mergeCell ref="AI5:AI6"/>
    <mergeCell ref="AJ5:AJ6"/>
    <mergeCell ref="AK5:AR5"/>
    <mergeCell ref="AS5:AS6"/>
    <mergeCell ref="AT5:AT6"/>
    <mergeCell ref="AB5:AB6"/>
    <mergeCell ref="AC5:AC6"/>
    <mergeCell ref="AD5:AD6"/>
    <mergeCell ref="AE5:AE6"/>
    <mergeCell ref="AU18:AV18"/>
    <mergeCell ref="BA18:BB18"/>
    <mergeCell ref="T19:U19"/>
    <mergeCell ref="V19:W19"/>
    <mergeCell ref="Z19:AF19"/>
    <mergeCell ref="AG19:AS19"/>
    <mergeCell ref="AU19:AV19"/>
    <mergeCell ref="BA19:BB19"/>
    <mergeCell ref="AO17:AS17"/>
    <mergeCell ref="AU17:AV17"/>
    <mergeCell ref="BA17:BB17"/>
    <mergeCell ref="T18:U18"/>
    <mergeCell ref="V18:W18"/>
    <mergeCell ref="Z18:AF18"/>
    <mergeCell ref="AG18:AH18"/>
    <mergeCell ref="AI18:AJ18"/>
    <mergeCell ref="AL18:AN18"/>
    <mergeCell ref="AO18:AS18"/>
    <mergeCell ref="T17:U17"/>
    <mergeCell ref="V17:W17"/>
    <mergeCell ref="Z17:AF17"/>
    <mergeCell ref="AG17:AH17"/>
    <mergeCell ref="AI17:AJ17"/>
    <mergeCell ref="AL17:AN17"/>
    <mergeCell ref="AO20:AS20"/>
    <mergeCell ref="AU20:AV20"/>
    <mergeCell ref="BA20:BB20"/>
    <mergeCell ref="T21:U21"/>
    <mergeCell ref="V21:W21"/>
    <mergeCell ref="Z21:AF21"/>
    <mergeCell ref="AG21:AS21"/>
    <mergeCell ref="AT21:AV21"/>
    <mergeCell ref="AW21:AX21"/>
    <mergeCell ref="AY21:AZ21"/>
    <mergeCell ref="T20:U20"/>
    <mergeCell ref="V20:W20"/>
    <mergeCell ref="Z20:AF20"/>
    <mergeCell ref="AG20:AH20"/>
    <mergeCell ref="AI20:AJ20"/>
    <mergeCell ref="AL20:AN20"/>
    <mergeCell ref="BA21:BB21"/>
    <mergeCell ref="AY22:AZ22"/>
    <mergeCell ref="BA22:BB22"/>
    <mergeCell ref="S23:W23"/>
    <mergeCell ref="AC23:AD23"/>
    <mergeCell ref="AE23:AF23"/>
    <mergeCell ref="AG23:AI23"/>
    <mergeCell ref="AJ23:AM23"/>
    <mergeCell ref="AN23:AP23"/>
    <mergeCell ref="AQ23:AS23"/>
    <mergeCell ref="AU23:AV23"/>
    <mergeCell ref="AW23:AX23"/>
    <mergeCell ref="AY23:AZ23"/>
    <mergeCell ref="BA23:BB23"/>
    <mergeCell ref="T22:U22"/>
    <mergeCell ref="V22:W22"/>
    <mergeCell ref="Z22:AF22"/>
    <mergeCell ref="AG22:AH22"/>
    <mergeCell ref="AI22:AJ22"/>
    <mergeCell ref="AL22:AN22"/>
    <mergeCell ref="AO22:AS22"/>
    <mergeCell ref="AU22:AV22"/>
    <mergeCell ref="AW22:AX22"/>
    <mergeCell ref="S24:W25"/>
    <mergeCell ref="X24:X25"/>
    <mergeCell ref="AC24:AD24"/>
    <mergeCell ref="AE24:AF24"/>
    <mergeCell ref="AG24:AI24"/>
    <mergeCell ref="AJ24:AM24"/>
    <mergeCell ref="AN24:AP24"/>
    <mergeCell ref="AQ25:AS25"/>
    <mergeCell ref="AT25:BB25"/>
    <mergeCell ref="AQ24:AS24"/>
    <mergeCell ref="AU24:AV24"/>
    <mergeCell ref="AW24:AX24"/>
    <mergeCell ref="AY24:AZ24"/>
    <mergeCell ref="BA24:BB24"/>
    <mergeCell ref="AC25:AD25"/>
    <mergeCell ref="AE25:AF25"/>
    <mergeCell ref="AG25:AI25"/>
    <mergeCell ref="AJ25:AM25"/>
    <mergeCell ref="AN25:AP25"/>
  </mergeCells>
  <conditionalFormatting sqref="Z7:Z15">
    <cfRule type="cellIs" dxfId="129" priority="7" operator="greaterThan">
      <formula>0.167361111111111</formula>
    </cfRule>
    <cfRule type="cellIs" dxfId="128" priority="8" operator="greaterThan">
      <formula>0.15625</formula>
    </cfRule>
  </conditionalFormatting>
  <conditionalFormatting sqref="AA7:AJ15">
    <cfRule type="cellIs" dxfId="127" priority="2" operator="between">
      <formula>1700</formula>
      <formula>1710</formula>
    </cfRule>
    <cfRule type="cellIs" dxfId="126" priority="3" operator="between">
      <formula>1691</formula>
      <formula>1700</formula>
    </cfRule>
  </conditionalFormatting>
  <conditionalFormatting sqref="AS7:AS15">
    <cfRule type="expression" dxfId="125" priority="4">
      <formula>IF(($AS7/$AX7)*1000&gt;$AY$1,1,0)</formula>
    </cfRule>
  </conditionalFormatting>
  <conditionalFormatting sqref="AT7:AW15">
    <cfRule type="cellIs" dxfId="124" priority="1" operator="greaterThan">
      <formula>10</formula>
    </cfRule>
  </conditionalFormatting>
  <conditionalFormatting sqref="AX7:AX15">
    <cfRule type="cellIs" dxfId="123" priority="6" operator="between">
      <formula>16000</formula>
      <formula>17200</formula>
    </cfRule>
    <cfRule type="cellIs" dxfId="122" priority="10" operator="lessThan">
      <formula>15800</formula>
    </cfRule>
    <cfRule type="cellIs" dxfId="121" priority="11" operator="greaterThan">
      <formula>18000</formula>
    </cfRule>
  </conditionalFormatting>
  <conditionalFormatting sqref="AZ7:BA15">
    <cfRule type="cellIs" dxfId="120" priority="14" operator="greaterThan">
      <formula>0</formula>
    </cfRule>
  </conditionalFormatting>
  <conditionalFormatting sqref="BB7:BB15">
    <cfRule type="cellIs" dxfId="119" priority="5" operator="between">
      <formula>16000</formula>
      <formula>17200</formula>
    </cfRule>
    <cfRule type="cellIs" dxfId="118" priority="12" operator="greaterThan">
      <formula>18000</formula>
    </cfRule>
    <cfRule type="cellIs" dxfId="117" priority="13" operator="lessThan">
      <formula>15800</formula>
    </cfRule>
  </conditionalFormatting>
  <printOptions horizontalCentered="1" verticalCentered="1"/>
  <pageMargins left="0" right="0" top="0" bottom="0.21" header="0" footer="0"/>
  <pageSetup paperSize="9" scale="42" orientation="landscape" cellComments="asDisplayed" r:id="rId1"/>
  <headerFooter differentFirst="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CF2AD-8411-4A4F-A640-753324D2ED3B}">
  <sheetPr>
    <tabColor theme="5"/>
    <pageSetUpPr fitToPage="1"/>
  </sheetPr>
  <dimension ref="R1:BJ32"/>
  <sheetViews>
    <sheetView showGridLines="0" rightToLeft="1" topLeftCell="I1" zoomScale="55" zoomScaleNormal="55" zoomScalePageLayoutView="40" workbookViewId="0">
      <selection activeCell="AV7" sqref="AV7"/>
    </sheetView>
  </sheetViews>
  <sheetFormatPr defaultColWidth="9.140625" defaultRowHeight="15"/>
  <cols>
    <col min="1" max="18" width="9.140625" style="4"/>
    <col min="19" max="19" width="5.7109375" style="4" customWidth="1"/>
    <col min="20" max="20" width="9.5703125" style="3" customWidth="1"/>
    <col min="21" max="21" width="10.7109375" style="3" customWidth="1"/>
    <col min="22" max="22" width="9.42578125" style="88" customWidth="1"/>
    <col min="23" max="23" width="8.85546875" style="88" customWidth="1"/>
    <col min="24" max="24" width="14.42578125" style="3" customWidth="1"/>
    <col min="25" max="25" width="14.7109375" style="3" customWidth="1"/>
    <col min="26" max="26" width="15.140625" style="88" customWidth="1"/>
    <col min="27" max="27" width="9.5703125" style="3" hidden="1" customWidth="1"/>
    <col min="28" max="28" width="10" style="3" hidden="1" customWidth="1"/>
    <col min="29" max="29" width="8.140625" style="3" customWidth="1"/>
    <col min="30" max="30" width="8.5703125" style="3" customWidth="1"/>
    <col min="31" max="31" width="12.42578125" style="3" customWidth="1"/>
    <col min="32" max="32" width="10.5703125" style="3" customWidth="1"/>
    <col min="33" max="33" width="9.5703125" style="3" customWidth="1"/>
    <col min="34" max="34" width="11.42578125" style="3" customWidth="1"/>
    <col min="35" max="35" width="9.42578125" style="3" customWidth="1"/>
    <col min="36" max="36" width="9.28515625" style="3" customWidth="1"/>
    <col min="37" max="37" width="6.7109375" style="3" hidden="1" customWidth="1"/>
    <col min="38" max="42" width="6.7109375" style="3" customWidth="1"/>
    <col min="43" max="43" width="8.140625" style="3" customWidth="1"/>
    <col min="44" max="44" width="6.7109375" style="3" hidden="1" customWidth="1"/>
    <col min="45" max="45" width="10.42578125" style="3" customWidth="1"/>
    <col min="46" max="46" width="8.7109375" style="3" customWidth="1"/>
    <col min="47" max="47" width="8.5703125" style="3" customWidth="1"/>
    <col min="48" max="48" width="8.7109375" style="3" customWidth="1"/>
    <col min="49" max="49" width="9.5703125" style="3" customWidth="1"/>
    <col min="50" max="50" width="12.42578125" style="88" customWidth="1"/>
    <col min="51" max="51" width="11.85546875" style="3" customWidth="1"/>
    <col min="52" max="52" width="11.5703125" style="3" customWidth="1"/>
    <col min="53" max="53" width="13.42578125" style="3" customWidth="1"/>
    <col min="54" max="54" width="13.5703125" style="4" customWidth="1"/>
    <col min="55" max="57" width="9.140625" style="4"/>
    <col min="58" max="58" width="25" style="4" customWidth="1"/>
    <col min="59" max="61" width="9.140625" style="4"/>
    <col min="62" max="62" width="23.5703125" style="4" customWidth="1"/>
    <col min="63" max="16384" width="9.140625" style="4"/>
  </cols>
  <sheetData>
    <row r="1" spans="19:54" ht="36.75" customHeight="1" thickBot="1">
      <c r="S1" s="180"/>
      <c r="T1" s="181"/>
      <c r="U1" s="181"/>
      <c r="V1" s="181"/>
      <c r="W1" s="181"/>
      <c r="X1" s="182" t="s">
        <v>0</v>
      </c>
      <c r="Y1" s="183"/>
      <c r="Z1" s="1" t="s">
        <v>1</v>
      </c>
      <c r="AA1" s="2"/>
      <c r="AC1" s="188" t="s">
        <v>2</v>
      </c>
      <c r="AD1" s="189"/>
      <c r="AE1" s="189"/>
      <c r="AF1" s="190" t="s">
        <v>75</v>
      </c>
      <c r="AG1" s="191"/>
      <c r="AH1" s="192"/>
      <c r="AI1" s="193" t="s">
        <v>3</v>
      </c>
      <c r="AJ1" s="194"/>
      <c r="AK1" s="194"/>
      <c r="AL1" s="195"/>
      <c r="AM1" s="196" t="s">
        <v>76</v>
      </c>
      <c r="AN1" s="197"/>
      <c r="AO1" s="197"/>
      <c r="AP1" s="198"/>
      <c r="AQ1" s="203" t="s">
        <v>4</v>
      </c>
      <c r="AR1" s="204"/>
      <c r="AS1" s="204"/>
      <c r="AT1" s="205"/>
      <c r="AU1" s="206" t="s">
        <v>74</v>
      </c>
      <c r="AV1" s="207"/>
      <c r="AW1" s="208"/>
      <c r="AX1" s="211" t="s">
        <v>101</v>
      </c>
      <c r="AY1" s="211"/>
      <c r="AZ1" s="211"/>
      <c r="BA1" s="211"/>
      <c r="BB1" s="211"/>
    </row>
    <row r="2" spans="19:54" ht="36.75" customHeight="1" thickBot="1">
      <c r="S2" s="180"/>
      <c r="T2" s="181"/>
      <c r="U2" s="181"/>
      <c r="V2" s="181"/>
      <c r="W2" s="181"/>
      <c r="X2" s="184"/>
      <c r="Y2" s="185"/>
      <c r="Z2" s="5" t="s">
        <v>5</v>
      </c>
      <c r="AA2" s="89"/>
      <c r="AC2" s="188" t="s">
        <v>2</v>
      </c>
      <c r="AD2" s="189"/>
      <c r="AE2" s="212"/>
      <c r="AF2" s="190" t="s">
        <v>78</v>
      </c>
      <c r="AG2" s="191"/>
      <c r="AH2" s="192"/>
      <c r="AI2" s="193" t="s">
        <v>3</v>
      </c>
      <c r="AJ2" s="194"/>
      <c r="AK2" s="194"/>
      <c r="AL2" s="195"/>
      <c r="AM2" s="202" t="s">
        <v>79</v>
      </c>
      <c r="AN2" s="202"/>
      <c r="AO2" s="202"/>
      <c r="AP2" s="202"/>
      <c r="AQ2" s="203" t="s">
        <v>4</v>
      </c>
      <c r="AR2" s="204"/>
      <c r="AS2" s="204"/>
      <c r="AT2" s="205"/>
      <c r="AU2" s="213" t="s">
        <v>77</v>
      </c>
      <c r="AV2" s="213"/>
      <c r="AW2" s="213"/>
      <c r="AX2" s="211"/>
      <c r="AY2" s="211"/>
      <c r="AZ2" s="211"/>
      <c r="BA2" s="211"/>
      <c r="BB2" s="211"/>
    </row>
    <row r="3" spans="19:54" ht="38.25" customHeight="1" thickBot="1">
      <c r="S3" s="181"/>
      <c r="T3" s="181"/>
      <c r="U3" s="181"/>
      <c r="V3" s="181"/>
      <c r="W3" s="181"/>
      <c r="X3" s="186"/>
      <c r="Y3" s="187"/>
      <c r="Z3" s="90" t="s">
        <v>65</v>
      </c>
      <c r="AA3" s="6"/>
      <c r="AC3" s="188" t="s">
        <v>6</v>
      </c>
      <c r="AD3" s="189"/>
      <c r="AE3" s="212"/>
      <c r="AF3" s="190" t="s">
        <v>81</v>
      </c>
      <c r="AG3" s="191"/>
      <c r="AH3" s="192"/>
      <c r="AI3" s="199" t="s">
        <v>7</v>
      </c>
      <c r="AJ3" s="200"/>
      <c r="AK3" s="200"/>
      <c r="AL3" s="201"/>
      <c r="AM3" s="202" t="s">
        <v>82</v>
      </c>
      <c r="AN3" s="202"/>
      <c r="AO3" s="202"/>
      <c r="AP3" s="202"/>
      <c r="AQ3" s="203" t="s">
        <v>4</v>
      </c>
      <c r="AR3" s="204"/>
      <c r="AS3" s="204"/>
      <c r="AT3" s="214"/>
      <c r="AU3" s="215" t="s">
        <v>80</v>
      </c>
      <c r="AV3" s="216"/>
      <c r="AW3" s="217"/>
      <c r="AX3" s="211"/>
      <c r="AY3" s="211"/>
      <c r="AZ3" s="211"/>
      <c r="BA3" s="211"/>
      <c r="BB3" s="211"/>
    </row>
    <row r="4" spans="19:54" ht="34.5" customHeight="1" thickBot="1">
      <c r="S4" s="225" t="s">
        <v>8</v>
      </c>
      <c r="T4" s="226"/>
      <c r="U4" s="226"/>
      <c r="V4" s="226"/>
      <c r="W4" s="226"/>
      <c r="X4" s="227"/>
      <c r="Y4" s="227"/>
      <c r="Z4" s="228"/>
      <c r="AA4" s="229" t="s">
        <v>9</v>
      </c>
      <c r="AB4" s="230"/>
      <c r="AC4" s="231" t="s">
        <v>10</v>
      </c>
      <c r="AD4" s="232"/>
      <c r="AE4" s="233" t="s">
        <v>11</v>
      </c>
      <c r="AF4" s="234"/>
      <c r="AG4" s="234"/>
      <c r="AH4" s="234"/>
      <c r="AI4" s="234"/>
      <c r="AJ4" s="235"/>
      <c r="AK4" s="7"/>
      <c r="AL4" s="236" t="s">
        <v>12</v>
      </c>
      <c r="AM4" s="237"/>
      <c r="AN4" s="237"/>
      <c r="AO4" s="237"/>
      <c r="AP4" s="237"/>
      <c r="AQ4" s="237"/>
      <c r="AR4" s="8"/>
      <c r="AS4" s="238" t="s">
        <v>13</v>
      </c>
      <c r="AT4" s="239"/>
      <c r="AU4" s="239"/>
      <c r="AV4" s="239"/>
      <c r="AW4" s="240"/>
      <c r="AX4" s="218" t="s">
        <v>14</v>
      </c>
      <c r="AY4" s="219"/>
      <c r="AZ4" s="219"/>
      <c r="BA4" s="219"/>
      <c r="BB4" s="220"/>
    </row>
    <row r="5" spans="19:54" ht="52.5" customHeight="1">
      <c r="S5" s="246" t="s">
        <v>15</v>
      </c>
      <c r="T5" s="248" t="s">
        <v>16</v>
      </c>
      <c r="U5" s="248" t="s">
        <v>17</v>
      </c>
      <c r="V5" s="248" t="s">
        <v>18</v>
      </c>
      <c r="W5" s="248" t="s">
        <v>19</v>
      </c>
      <c r="X5" s="248" t="s">
        <v>20</v>
      </c>
      <c r="Y5" s="248" t="s">
        <v>21</v>
      </c>
      <c r="Z5" s="250" t="s">
        <v>22</v>
      </c>
      <c r="AA5" s="252" t="s">
        <v>23</v>
      </c>
      <c r="AB5" s="270" t="s">
        <v>9</v>
      </c>
      <c r="AC5" s="272" t="s">
        <v>24</v>
      </c>
      <c r="AD5" s="272" t="s">
        <v>25</v>
      </c>
      <c r="AE5" s="274" t="s">
        <v>26</v>
      </c>
      <c r="AF5" s="209" t="s">
        <v>27</v>
      </c>
      <c r="AG5" s="209" t="s">
        <v>28</v>
      </c>
      <c r="AH5" s="263" t="s">
        <v>29</v>
      </c>
      <c r="AI5" s="263" t="s">
        <v>30</v>
      </c>
      <c r="AJ5" s="265" t="s">
        <v>31</v>
      </c>
      <c r="AK5" s="267" t="s">
        <v>32</v>
      </c>
      <c r="AL5" s="268"/>
      <c r="AM5" s="268"/>
      <c r="AN5" s="268"/>
      <c r="AO5" s="268"/>
      <c r="AP5" s="268"/>
      <c r="AQ5" s="268"/>
      <c r="AR5" s="269"/>
      <c r="AS5" s="259" t="s">
        <v>33</v>
      </c>
      <c r="AT5" s="259" t="s">
        <v>34</v>
      </c>
      <c r="AU5" s="259" t="s">
        <v>35</v>
      </c>
      <c r="AV5" s="259" t="s">
        <v>66</v>
      </c>
      <c r="AW5" s="261" t="s">
        <v>36</v>
      </c>
      <c r="AX5" s="252" t="s">
        <v>37</v>
      </c>
      <c r="AY5" s="221" t="s">
        <v>38</v>
      </c>
      <c r="AZ5" s="221" t="s">
        <v>39</v>
      </c>
      <c r="BA5" s="221" t="s">
        <v>40</v>
      </c>
      <c r="BB5" s="223" t="s">
        <v>41</v>
      </c>
    </row>
    <row r="6" spans="19:54" ht="27.95" customHeight="1" thickBot="1">
      <c r="S6" s="247"/>
      <c r="T6" s="249"/>
      <c r="U6" s="249"/>
      <c r="V6" s="249"/>
      <c r="W6" s="249"/>
      <c r="X6" s="249"/>
      <c r="Y6" s="249"/>
      <c r="Z6" s="251"/>
      <c r="AA6" s="253"/>
      <c r="AB6" s="271"/>
      <c r="AC6" s="273"/>
      <c r="AD6" s="273"/>
      <c r="AE6" s="275"/>
      <c r="AF6" s="210"/>
      <c r="AG6" s="210"/>
      <c r="AH6" s="264"/>
      <c r="AI6" s="264"/>
      <c r="AJ6" s="266"/>
      <c r="AK6" s="9">
        <v>1</v>
      </c>
      <c r="AL6" s="10">
        <v>2</v>
      </c>
      <c r="AM6" s="10">
        <v>3</v>
      </c>
      <c r="AN6" s="10">
        <v>4</v>
      </c>
      <c r="AO6" s="10">
        <v>5</v>
      </c>
      <c r="AP6" s="10">
        <v>6</v>
      </c>
      <c r="AQ6" s="10">
        <v>12</v>
      </c>
      <c r="AR6" s="11"/>
      <c r="AS6" s="260"/>
      <c r="AT6" s="260"/>
      <c r="AU6" s="260"/>
      <c r="AV6" s="260"/>
      <c r="AW6" s="262"/>
      <c r="AX6" s="253"/>
      <c r="AY6" s="222"/>
      <c r="AZ6" s="222"/>
      <c r="BA6" s="222"/>
      <c r="BB6" s="224"/>
    </row>
    <row r="7" spans="19:54" s="34" customFormat="1" ht="48" customHeight="1" thickBot="1">
      <c r="S7" s="12">
        <v>1</v>
      </c>
      <c r="T7" s="241" t="s">
        <v>1</v>
      </c>
      <c r="U7" s="13"/>
      <c r="V7" s="14"/>
      <c r="W7" s="15"/>
      <c r="X7" s="16"/>
      <c r="Y7" s="17"/>
      <c r="Z7" s="18">
        <f t="shared" ref="Z7:Z15" si="0">IF(Y7&lt;X7,1+Y7-X7,Y7-X7)</f>
        <v>0</v>
      </c>
      <c r="AA7" s="19"/>
      <c r="AB7" s="20"/>
      <c r="AC7" s="149"/>
      <c r="AD7" s="100"/>
      <c r="AE7" s="22"/>
      <c r="AF7" s="23"/>
      <c r="AG7" s="23"/>
      <c r="AH7" s="23"/>
      <c r="AI7" s="23"/>
      <c r="AJ7" s="24"/>
      <c r="AK7" s="25"/>
      <c r="AL7" s="26"/>
      <c r="AM7" s="26"/>
      <c r="AN7" s="26"/>
      <c r="AO7" s="26"/>
      <c r="AP7" s="26"/>
      <c r="AQ7" s="26"/>
      <c r="AR7" s="27"/>
      <c r="AS7" s="28"/>
      <c r="AT7" s="13"/>
      <c r="AU7" s="13"/>
      <c r="AV7" s="13"/>
      <c r="AW7" s="29"/>
      <c r="AX7" s="30">
        <f t="shared" ref="AX7:AX15" si="1">SUM(AY7:BB7)</f>
        <v>0</v>
      </c>
      <c r="AY7" s="31">
        <v>0</v>
      </c>
      <c r="AZ7" s="32">
        <v>0</v>
      </c>
      <c r="BA7" s="31">
        <v>0</v>
      </c>
      <c r="BB7" s="33">
        <f t="shared" ref="BB7:BB15" si="2">SUM(($AQ$6*AQ7+$AP$6*AP7+$AN$6*AN7+$AM$6*$AM7+$AL$6*AL7+$AK$6*AK7+$AO$6*AO7+$AR$6*AR7)*175)</f>
        <v>0</v>
      </c>
    </row>
    <row r="8" spans="19:54" s="34" customFormat="1" ht="48" customHeight="1" thickBot="1">
      <c r="S8" s="12">
        <v>2</v>
      </c>
      <c r="T8" s="242"/>
      <c r="U8" s="35"/>
      <c r="V8" s="122"/>
      <c r="W8" s="122"/>
      <c r="X8" s="36"/>
      <c r="Y8" s="36"/>
      <c r="Z8" s="37">
        <f t="shared" si="0"/>
        <v>0</v>
      </c>
      <c r="AA8" s="38"/>
      <c r="AB8" s="39"/>
      <c r="AC8" s="147"/>
      <c r="AD8" s="101"/>
      <c r="AE8" s="41"/>
      <c r="AF8" s="42"/>
      <c r="AG8" s="42"/>
      <c r="AH8" s="42"/>
      <c r="AI8" s="42"/>
      <c r="AJ8" s="43"/>
      <c r="AK8" s="44"/>
      <c r="AL8" s="45"/>
      <c r="AM8" s="45"/>
      <c r="AN8" s="45"/>
      <c r="AO8" s="45"/>
      <c r="AP8" s="45"/>
      <c r="AQ8" s="45"/>
      <c r="AR8" s="46"/>
      <c r="AS8" s="47"/>
      <c r="AT8" s="35"/>
      <c r="AU8" s="35"/>
      <c r="AV8" s="35"/>
      <c r="AW8" s="48"/>
      <c r="AX8" s="49">
        <f t="shared" si="1"/>
        <v>0</v>
      </c>
      <c r="AY8" s="50">
        <v>0</v>
      </c>
      <c r="AZ8" s="51">
        <v>0</v>
      </c>
      <c r="BA8" s="52">
        <v>0</v>
      </c>
      <c r="BB8" s="53">
        <f t="shared" si="2"/>
        <v>0</v>
      </c>
    </row>
    <row r="9" spans="19:54" s="34" customFormat="1" ht="48" customHeight="1" thickBot="1">
      <c r="S9" s="12">
        <v>3</v>
      </c>
      <c r="T9" s="242"/>
      <c r="U9" s="35"/>
      <c r="V9" s="122"/>
      <c r="W9" s="122"/>
      <c r="X9" s="36"/>
      <c r="Y9" s="36"/>
      <c r="Z9" s="37">
        <f t="shared" si="0"/>
        <v>0</v>
      </c>
      <c r="AA9" s="38"/>
      <c r="AB9" s="39"/>
      <c r="AC9" s="147"/>
      <c r="AD9" s="101"/>
      <c r="AE9" s="41"/>
      <c r="AF9" s="42"/>
      <c r="AG9" s="42"/>
      <c r="AH9" s="42"/>
      <c r="AI9" s="42"/>
      <c r="AJ9" s="43"/>
      <c r="AK9" s="44"/>
      <c r="AL9" s="45"/>
      <c r="AM9" s="45"/>
      <c r="AN9" s="45"/>
      <c r="AO9" s="45"/>
      <c r="AP9" s="45"/>
      <c r="AQ9" s="45"/>
      <c r="AR9" s="46"/>
      <c r="AS9" s="47"/>
      <c r="AT9" s="35"/>
      <c r="AU9" s="35"/>
      <c r="AV9" s="35"/>
      <c r="AW9" s="48"/>
      <c r="AX9" s="49">
        <f t="shared" si="1"/>
        <v>0</v>
      </c>
      <c r="AY9" s="51">
        <v>0</v>
      </c>
      <c r="AZ9" s="52">
        <v>0</v>
      </c>
      <c r="BA9" s="51">
        <v>0</v>
      </c>
      <c r="BB9" s="53">
        <f t="shared" si="2"/>
        <v>0</v>
      </c>
    </row>
    <row r="10" spans="19:54" s="34" customFormat="1" ht="48" customHeight="1" thickBot="1">
      <c r="S10" s="12">
        <v>4</v>
      </c>
      <c r="T10" s="243" t="s">
        <v>5</v>
      </c>
      <c r="U10" s="35"/>
      <c r="V10" s="122"/>
      <c r="W10" s="122"/>
      <c r="X10" s="36"/>
      <c r="Y10" s="36"/>
      <c r="Z10" s="37">
        <f t="shared" si="0"/>
        <v>0</v>
      </c>
      <c r="AA10" s="38"/>
      <c r="AB10" s="39"/>
      <c r="AC10" s="147"/>
      <c r="AD10" s="101"/>
      <c r="AE10" s="41"/>
      <c r="AF10" s="42"/>
      <c r="AG10" s="42"/>
      <c r="AH10" s="42"/>
      <c r="AI10" s="42"/>
      <c r="AJ10" s="43"/>
      <c r="AK10" s="44"/>
      <c r="AL10" s="45"/>
      <c r="AM10" s="45"/>
      <c r="AN10" s="45"/>
      <c r="AO10" s="45"/>
      <c r="AP10" s="45"/>
      <c r="AQ10" s="45"/>
      <c r="AR10" s="46"/>
      <c r="AS10" s="47"/>
      <c r="AT10" s="35"/>
      <c r="AU10" s="35"/>
      <c r="AV10" s="35"/>
      <c r="AW10" s="48"/>
      <c r="AX10" s="49">
        <f t="shared" si="1"/>
        <v>0</v>
      </c>
      <c r="AY10" s="51">
        <v>0</v>
      </c>
      <c r="AZ10" s="52">
        <v>0</v>
      </c>
      <c r="BA10" s="51">
        <v>0</v>
      </c>
      <c r="BB10" s="53">
        <f t="shared" si="2"/>
        <v>0</v>
      </c>
    </row>
    <row r="11" spans="19:54" s="34" customFormat="1" ht="48" customHeight="1" thickBot="1">
      <c r="S11" s="12">
        <v>5</v>
      </c>
      <c r="T11" s="243"/>
      <c r="U11" s="35"/>
      <c r="V11" s="122"/>
      <c r="W11" s="122"/>
      <c r="X11" s="36"/>
      <c r="Y11" s="120"/>
      <c r="Z11" s="37">
        <f t="shared" si="0"/>
        <v>0</v>
      </c>
      <c r="AA11" s="38"/>
      <c r="AB11" s="39"/>
      <c r="AC11" s="147"/>
      <c r="AD11" s="101"/>
      <c r="AE11" s="41"/>
      <c r="AF11" s="42"/>
      <c r="AG11" s="42"/>
      <c r="AH11" s="42"/>
      <c r="AI11" s="42"/>
      <c r="AJ11" s="43"/>
      <c r="AK11" s="44"/>
      <c r="AL11" s="45"/>
      <c r="AM11" s="45"/>
      <c r="AN11" s="45"/>
      <c r="AO11" s="45"/>
      <c r="AP11" s="45"/>
      <c r="AQ11" s="45"/>
      <c r="AR11" s="46"/>
      <c r="AS11" s="47"/>
      <c r="AT11" s="35"/>
      <c r="AU11" s="35"/>
      <c r="AV11" s="35"/>
      <c r="AW11" s="48"/>
      <c r="AX11" s="49">
        <f t="shared" si="1"/>
        <v>0</v>
      </c>
      <c r="AY11" s="50">
        <v>0</v>
      </c>
      <c r="AZ11" s="51">
        <v>0</v>
      </c>
      <c r="BA11" s="52">
        <v>0</v>
      </c>
      <c r="BB11" s="53">
        <f t="shared" si="2"/>
        <v>0</v>
      </c>
    </row>
    <row r="12" spans="19:54" s="34" customFormat="1" ht="48" customHeight="1" thickBot="1">
      <c r="S12" s="12">
        <v>10</v>
      </c>
      <c r="T12" s="243"/>
      <c r="U12" s="13"/>
      <c r="V12" s="14"/>
      <c r="W12" s="14"/>
      <c r="X12" s="54"/>
      <c r="Y12" s="54"/>
      <c r="Z12" s="55">
        <f t="shared" si="0"/>
        <v>0</v>
      </c>
      <c r="AA12" s="19"/>
      <c r="AB12" s="20"/>
      <c r="AC12" s="149"/>
      <c r="AD12" s="100"/>
      <c r="AE12" s="22"/>
      <c r="AF12" s="23"/>
      <c r="AG12" s="23"/>
      <c r="AH12" s="23"/>
      <c r="AI12" s="23"/>
      <c r="AJ12" s="24"/>
      <c r="AK12" s="25"/>
      <c r="AL12" s="26"/>
      <c r="AM12" s="26"/>
      <c r="AN12" s="26"/>
      <c r="AO12" s="26"/>
      <c r="AP12" s="26"/>
      <c r="AQ12" s="26"/>
      <c r="AR12" s="27"/>
      <c r="AS12" s="28"/>
      <c r="AT12" s="13"/>
      <c r="AU12" s="13"/>
      <c r="AV12" s="13"/>
      <c r="AW12" s="29"/>
      <c r="AX12" s="30">
        <f t="shared" si="1"/>
        <v>0</v>
      </c>
      <c r="AY12" s="31">
        <v>0</v>
      </c>
      <c r="AZ12" s="32">
        <v>0</v>
      </c>
      <c r="BA12" s="31">
        <v>0</v>
      </c>
      <c r="BB12" s="56">
        <f t="shared" si="2"/>
        <v>0</v>
      </c>
    </row>
    <row r="13" spans="19:54" s="34" customFormat="1" ht="48" customHeight="1" thickBot="1">
      <c r="S13" s="12">
        <v>11</v>
      </c>
      <c r="T13" s="244" t="s">
        <v>65</v>
      </c>
      <c r="U13" s="35"/>
      <c r="V13" s="156"/>
      <c r="W13" s="156"/>
      <c r="X13" s="36"/>
      <c r="Y13" s="36"/>
      <c r="Z13" s="37">
        <f t="shared" si="0"/>
        <v>0</v>
      </c>
      <c r="AA13" s="38"/>
      <c r="AB13" s="39"/>
      <c r="AC13" s="40"/>
      <c r="AD13" s="101"/>
      <c r="AE13" s="41"/>
      <c r="AF13" s="42"/>
      <c r="AG13" s="42"/>
      <c r="AH13" s="42"/>
      <c r="AI13" s="42"/>
      <c r="AJ13" s="43"/>
      <c r="AK13" s="44"/>
      <c r="AL13" s="45"/>
      <c r="AM13" s="45"/>
      <c r="AN13" s="45"/>
      <c r="AO13" s="45"/>
      <c r="AP13" s="45"/>
      <c r="AQ13" s="45"/>
      <c r="AR13" s="46"/>
      <c r="AS13" s="47"/>
      <c r="AT13" s="35"/>
      <c r="AU13" s="35"/>
      <c r="AV13" s="35"/>
      <c r="AW13" s="48"/>
      <c r="AX13" s="49">
        <f t="shared" si="1"/>
        <v>0</v>
      </c>
      <c r="AY13" s="50">
        <v>0</v>
      </c>
      <c r="AZ13" s="51">
        <v>0</v>
      </c>
      <c r="BA13" s="52">
        <v>0</v>
      </c>
      <c r="BB13" s="57">
        <f t="shared" si="2"/>
        <v>0</v>
      </c>
    </row>
    <row r="14" spans="19:54" s="34" customFormat="1" ht="48" customHeight="1" thickBot="1">
      <c r="S14" s="12">
        <v>12</v>
      </c>
      <c r="T14" s="244"/>
      <c r="U14" s="35"/>
      <c r="V14" s="156"/>
      <c r="W14" s="156"/>
      <c r="X14" s="36"/>
      <c r="Y14" s="36"/>
      <c r="Z14" s="37">
        <f t="shared" si="0"/>
        <v>0</v>
      </c>
      <c r="AA14" s="38"/>
      <c r="AB14" s="39"/>
      <c r="AC14" s="40"/>
      <c r="AD14" s="101"/>
      <c r="AE14" s="41"/>
      <c r="AF14" s="42"/>
      <c r="AG14" s="42"/>
      <c r="AH14" s="42"/>
      <c r="AI14" s="42"/>
      <c r="AJ14" s="43"/>
      <c r="AK14" s="44"/>
      <c r="AL14" s="45"/>
      <c r="AM14" s="45"/>
      <c r="AN14" s="45"/>
      <c r="AO14" s="45"/>
      <c r="AP14" s="45"/>
      <c r="AQ14" s="45"/>
      <c r="AR14" s="46"/>
      <c r="AS14" s="47"/>
      <c r="AT14" s="35"/>
      <c r="AU14" s="35"/>
      <c r="AV14" s="35"/>
      <c r="AW14" s="48"/>
      <c r="AX14" s="49">
        <f t="shared" si="1"/>
        <v>0</v>
      </c>
      <c r="AY14" s="51">
        <v>0</v>
      </c>
      <c r="AZ14" s="52">
        <v>0</v>
      </c>
      <c r="BA14" s="51">
        <v>0</v>
      </c>
      <c r="BB14" s="57">
        <f t="shared" si="2"/>
        <v>0</v>
      </c>
    </row>
    <row r="15" spans="19:54" s="34" customFormat="1" ht="48" customHeight="1" thickBot="1">
      <c r="S15" s="12">
        <v>13</v>
      </c>
      <c r="T15" s="245"/>
      <c r="U15" s="58"/>
      <c r="V15" s="59"/>
      <c r="W15" s="59"/>
      <c r="X15" s="60"/>
      <c r="Y15" s="60"/>
      <c r="Z15" s="61">
        <f t="shared" si="0"/>
        <v>0</v>
      </c>
      <c r="AA15" s="62"/>
      <c r="AB15" s="63"/>
      <c r="AC15" s="64"/>
      <c r="AD15" s="102"/>
      <c r="AE15" s="65"/>
      <c r="AF15" s="66"/>
      <c r="AG15" s="67"/>
      <c r="AH15" s="67"/>
      <c r="AI15" s="67"/>
      <c r="AJ15" s="66"/>
      <c r="AK15" s="68"/>
      <c r="AL15" s="69"/>
      <c r="AM15" s="69"/>
      <c r="AN15" s="69"/>
      <c r="AO15" s="69"/>
      <c r="AP15" s="69"/>
      <c r="AQ15" s="69"/>
      <c r="AR15" s="70"/>
      <c r="AS15" s="71"/>
      <c r="AT15" s="35"/>
      <c r="AU15" s="35"/>
      <c r="AV15" s="35"/>
      <c r="AW15" s="48"/>
      <c r="AX15" s="49">
        <f t="shared" si="1"/>
        <v>0</v>
      </c>
      <c r="AY15" s="50">
        <v>0</v>
      </c>
      <c r="AZ15" s="51">
        <v>0</v>
      </c>
      <c r="BA15" s="52">
        <v>0</v>
      </c>
      <c r="BB15" s="57">
        <f t="shared" si="2"/>
        <v>0</v>
      </c>
    </row>
    <row r="16" spans="19:54" s="72" customFormat="1" ht="50.1" customHeight="1">
      <c r="S16" s="254" t="s">
        <v>42</v>
      </c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5" t="s">
        <v>53</v>
      </c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6" t="s">
        <v>43</v>
      </c>
      <c r="AU16" s="257"/>
      <c r="AV16" s="257"/>
      <c r="AW16" s="257"/>
      <c r="AX16" s="257"/>
      <c r="AY16" s="257"/>
      <c r="AZ16" s="257"/>
      <c r="BA16" s="257"/>
      <c r="BB16" s="258"/>
    </row>
    <row r="17" spans="18:62" s="72" customFormat="1" ht="60" customHeight="1">
      <c r="S17" s="73" t="s">
        <v>15</v>
      </c>
      <c r="T17" s="300" t="s">
        <v>44</v>
      </c>
      <c r="U17" s="301"/>
      <c r="V17" s="302" t="s">
        <v>45</v>
      </c>
      <c r="W17" s="303"/>
      <c r="X17" s="74" t="s">
        <v>46</v>
      </c>
      <c r="Y17" s="75" t="s">
        <v>67</v>
      </c>
      <c r="Z17" s="304" t="s">
        <v>47</v>
      </c>
      <c r="AA17" s="304"/>
      <c r="AB17" s="304"/>
      <c r="AC17" s="304"/>
      <c r="AD17" s="304"/>
      <c r="AE17" s="304"/>
      <c r="AF17" s="304"/>
      <c r="AG17" s="305" t="s">
        <v>48</v>
      </c>
      <c r="AH17" s="306"/>
      <c r="AI17" s="307" t="s">
        <v>49</v>
      </c>
      <c r="AJ17" s="307"/>
      <c r="AK17" s="92"/>
      <c r="AL17" s="308" t="s">
        <v>68</v>
      </c>
      <c r="AM17" s="309"/>
      <c r="AN17" s="310"/>
      <c r="AO17" s="288" t="s">
        <v>50</v>
      </c>
      <c r="AP17" s="289"/>
      <c r="AQ17" s="289"/>
      <c r="AR17" s="289"/>
      <c r="AS17" s="289"/>
      <c r="AT17" s="76" t="s">
        <v>51</v>
      </c>
      <c r="AU17" s="290" t="s">
        <v>33</v>
      </c>
      <c r="AV17" s="291"/>
      <c r="AW17" s="77" t="s">
        <v>34</v>
      </c>
      <c r="AX17" s="77" t="s">
        <v>66</v>
      </c>
      <c r="AY17" s="77" t="s">
        <v>35</v>
      </c>
      <c r="AZ17" s="77" t="s">
        <v>36</v>
      </c>
      <c r="BA17" s="292" t="s">
        <v>52</v>
      </c>
      <c r="BB17" s="293"/>
    </row>
    <row r="18" spans="18:62" ht="60.75" customHeight="1">
      <c r="S18" s="78">
        <v>1</v>
      </c>
      <c r="T18" s="294"/>
      <c r="U18" s="295"/>
      <c r="V18" s="280"/>
      <c r="W18" s="281"/>
      <c r="X18" s="79" t="str">
        <f>TEXT(MOD(V18-T18,1),"h:mm")</f>
        <v>0:00</v>
      </c>
      <c r="Y18" s="80"/>
      <c r="Z18" s="282"/>
      <c r="AA18" s="282"/>
      <c r="AB18" s="282"/>
      <c r="AC18" s="282"/>
      <c r="AD18" s="282"/>
      <c r="AE18" s="282"/>
      <c r="AF18" s="282"/>
      <c r="AG18" s="296">
        <f>SUM(AX7:AX9)</f>
        <v>0</v>
      </c>
      <c r="AH18" s="297"/>
      <c r="AI18" s="298">
        <f>SUM(AX10:AX12)</f>
        <v>0</v>
      </c>
      <c r="AJ18" s="298"/>
      <c r="AK18" s="93"/>
      <c r="AL18" s="298">
        <f>SUM(AX13:AX15)</f>
        <v>0</v>
      </c>
      <c r="AM18" s="298"/>
      <c r="AN18" s="298"/>
      <c r="AO18" s="299">
        <f>SUM(AG18:AN18)</f>
        <v>0</v>
      </c>
      <c r="AP18" s="299"/>
      <c r="AQ18" s="299"/>
      <c r="AR18" s="299"/>
      <c r="AS18" s="299"/>
      <c r="AT18" s="81" t="s">
        <v>1</v>
      </c>
      <c r="AU18" s="276">
        <f>SUM(AS7:AS9)</f>
        <v>0</v>
      </c>
      <c r="AV18" s="277"/>
      <c r="AW18" s="82">
        <f>SUM(AT7:AT9)</f>
        <v>0</v>
      </c>
      <c r="AX18" s="82">
        <f>SUM(AV7:AV9)</f>
        <v>0</v>
      </c>
      <c r="AY18" s="82">
        <f>SUM(AU7:AU9)</f>
        <v>0</v>
      </c>
      <c r="AZ18" s="82">
        <f>SUM(AW7:AW9)</f>
        <v>0</v>
      </c>
      <c r="BA18" s="276">
        <f>SUM(AU18:AZ18)</f>
        <v>0</v>
      </c>
      <c r="BB18" s="277"/>
    </row>
    <row r="19" spans="18:62" ht="60.75" customHeight="1">
      <c r="S19" s="78">
        <v>2</v>
      </c>
      <c r="T19" s="278"/>
      <c r="U19" s="279"/>
      <c r="V19" s="280"/>
      <c r="W19" s="281"/>
      <c r="X19" s="79" t="str">
        <f>TEXT(MOD(V19-T19,1),"h:mm")</f>
        <v>0:00</v>
      </c>
      <c r="Y19" s="80"/>
      <c r="Z19" s="282"/>
      <c r="AA19" s="282"/>
      <c r="AB19" s="282"/>
      <c r="AC19" s="282"/>
      <c r="AD19" s="282"/>
      <c r="AE19" s="282"/>
      <c r="AF19" s="282"/>
      <c r="AG19" s="283" t="s">
        <v>41</v>
      </c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5"/>
      <c r="AT19" s="83" t="s">
        <v>5</v>
      </c>
      <c r="AU19" s="286">
        <f>SUM(AS10:AS12)</f>
        <v>0</v>
      </c>
      <c r="AV19" s="287"/>
      <c r="AW19" s="84">
        <f>SUM(AT10:AT12)</f>
        <v>0</v>
      </c>
      <c r="AX19" s="84">
        <f>SUM(AV10:AV12)</f>
        <v>0</v>
      </c>
      <c r="AY19" s="84">
        <f>SUM(AU10:AU12)</f>
        <v>0</v>
      </c>
      <c r="AZ19" s="84">
        <f>SUM(AW10:AW12)</f>
        <v>0</v>
      </c>
      <c r="BA19" s="286">
        <f>SUM(AU19:AZ19)</f>
        <v>0</v>
      </c>
      <c r="BB19" s="287"/>
    </row>
    <row r="20" spans="18:62" ht="60.75" customHeight="1">
      <c r="S20" s="78">
        <v>3</v>
      </c>
      <c r="T20" s="278"/>
      <c r="U20" s="279"/>
      <c r="V20" s="280"/>
      <c r="W20" s="281"/>
      <c r="X20" s="79" t="str">
        <f>TEXT(MOD(V20-T20,1),"h:mm")</f>
        <v>0:00</v>
      </c>
      <c r="Y20" s="80"/>
      <c r="Z20" s="327"/>
      <c r="AA20" s="327"/>
      <c r="AB20" s="327"/>
      <c r="AC20" s="327"/>
      <c r="AD20" s="327"/>
      <c r="AE20" s="327"/>
      <c r="AF20" s="327"/>
      <c r="AG20" s="311">
        <f>SUM(BB7:BB9)</f>
        <v>0</v>
      </c>
      <c r="AH20" s="328"/>
      <c r="AI20" s="311">
        <f>SUM(BB10:BB12)</f>
        <v>0</v>
      </c>
      <c r="AJ20" s="328"/>
      <c r="AK20" s="94"/>
      <c r="AL20" s="311">
        <f>SUM(BB13:BB15)</f>
        <v>0</v>
      </c>
      <c r="AM20" s="329"/>
      <c r="AN20" s="328"/>
      <c r="AO20" s="311">
        <f>SUM(AG20:AN20)</f>
        <v>0</v>
      </c>
      <c r="AP20" s="312"/>
      <c r="AQ20" s="312"/>
      <c r="AR20" s="312"/>
      <c r="AS20" s="313"/>
      <c r="AT20" s="91" t="s">
        <v>65</v>
      </c>
      <c r="AU20" s="314">
        <f>SUM(AS13:AS15)</f>
        <v>0</v>
      </c>
      <c r="AV20" s="315"/>
      <c r="AW20" s="99">
        <f>SUM(AT13:AT15)</f>
        <v>0</v>
      </c>
      <c r="AX20" s="99">
        <f>SUM(AV13:AV15)</f>
        <v>0</v>
      </c>
      <c r="AY20" s="99">
        <f>SUM(AU13:AU15)</f>
        <v>0</v>
      </c>
      <c r="AZ20" s="99">
        <f>SUM(AW13:AW15)</f>
        <v>0</v>
      </c>
      <c r="BA20" s="316">
        <f>SUM(AU20:AZ20)</f>
        <v>0</v>
      </c>
      <c r="BB20" s="317"/>
    </row>
    <row r="21" spans="18:62" ht="60.75" customHeight="1">
      <c r="S21" s="78">
        <v>4</v>
      </c>
      <c r="T21" s="278"/>
      <c r="U21" s="279"/>
      <c r="V21" s="280"/>
      <c r="W21" s="281"/>
      <c r="X21" s="79" t="str">
        <f>TEXT(MOD(V21-T21,1),"h:mm")</f>
        <v>0:00</v>
      </c>
      <c r="Y21" s="80"/>
      <c r="Z21" s="318"/>
      <c r="AA21" s="318"/>
      <c r="AB21" s="318"/>
      <c r="AC21" s="318"/>
      <c r="AD21" s="318"/>
      <c r="AE21" s="318"/>
      <c r="AF21" s="318"/>
      <c r="AG21" s="319" t="s">
        <v>54</v>
      </c>
      <c r="AH21" s="320"/>
      <c r="AI21" s="320"/>
      <c r="AJ21" s="320"/>
      <c r="AK21" s="320"/>
      <c r="AL21" s="320"/>
      <c r="AM21" s="320"/>
      <c r="AN21" s="320"/>
      <c r="AO21" s="320"/>
      <c r="AP21" s="320"/>
      <c r="AQ21" s="320"/>
      <c r="AR21" s="320"/>
      <c r="AS21" s="321"/>
      <c r="AT21" s="322" t="s">
        <v>55</v>
      </c>
      <c r="AU21" s="323"/>
      <c r="AV21" s="324"/>
      <c r="AW21" s="325">
        <v>1680</v>
      </c>
      <c r="AX21" s="326"/>
      <c r="AY21" s="322" t="s">
        <v>56</v>
      </c>
      <c r="AZ21" s="324"/>
      <c r="BA21" s="330">
        <v>1628</v>
      </c>
      <c r="BB21" s="331"/>
    </row>
    <row r="22" spans="18:62" ht="54" customHeight="1">
      <c r="S22" s="78">
        <v>5</v>
      </c>
      <c r="T22" s="278"/>
      <c r="U22" s="279"/>
      <c r="V22" s="280"/>
      <c r="W22" s="281"/>
      <c r="X22" s="79" t="str">
        <f>TEXT(MOD(V22-T22,1),"h:mm")</f>
        <v>0:00</v>
      </c>
      <c r="Y22" s="80"/>
      <c r="Z22" s="318"/>
      <c r="AA22" s="318"/>
      <c r="AB22" s="318"/>
      <c r="AC22" s="318"/>
      <c r="AD22" s="318"/>
      <c r="AE22" s="318"/>
      <c r="AF22" s="318"/>
      <c r="AG22" s="357">
        <f>SUM(AY7:BA9)</f>
        <v>0</v>
      </c>
      <c r="AH22" s="357"/>
      <c r="AI22" s="298">
        <f>SUM(AY10:BA12)</f>
        <v>0</v>
      </c>
      <c r="AJ22" s="298"/>
      <c r="AK22" s="95"/>
      <c r="AL22" s="358">
        <f>SUM(AY13:BA15)</f>
        <v>0</v>
      </c>
      <c r="AM22" s="358"/>
      <c r="AN22" s="359"/>
      <c r="AO22" s="360">
        <f>SUM(AG22:AN22)</f>
        <v>0</v>
      </c>
      <c r="AP22" s="361"/>
      <c r="AQ22" s="361"/>
      <c r="AR22" s="361"/>
      <c r="AS22" s="362"/>
      <c r="AT22" s="98" t="s">
        <v>69</v>
      </c>
      <c r="AU22" s="363" t="s">
        <v>48</v>
      </c>
      <c r="AV22" s="364"/>
      <c r="AW22" s="365" t="s">
        <v>49</v>
      </c>
      <c r="AX22" s="366"/>
      <c r="AY22" s="332" t="s">
        <v>68</v>
      </c>
      <c r="AZ22" s="333"/>
      <c r="BA22" s="334" t="s">
        <v>57</v>
      </c>
      <c r="BB22" s="335"/>
    </row>
    <row r="23" spans="18:62" ht="59.25" customHeight="1">
      <c r="S23" s="336" t="s">
        <v>61</v>
      </c>
      <c r="T23" s="337"/>
      <c r="U23" s="337"/>
      <c r="V23" s="337"/>
      <c r="W23" s="338"/>
      <c r="X23" s="85">
        <f>SUM(X18+X19+X20+X21+X22)</f>
        <v>0</v>
      </c>
      <c r="Y23" s="121" t="s">
        <v>62</v>
      </c>
      <c r="Z23" s="86"/>
      <c r="AA23" s="87"/>
      <c r="AB23" s="87"/>
      <c r="AC23" s="339" t="s">
        <v>63</v>
      </c>
      <c r="AD23" s="339"/>
      <c r="AE23" s="340"/>
      <c r="AF23" s="341"/>
      <c r="AG23" s="342" t="s">
        <v>22</v>
      </c>
      <c r="AH23" s="343"/>
      <c r="AI23" s="344"/>
      <c r="AJ23" s="345" t="s">
        <v>48</v>
      </c>
      <c r="AK23" s="346"/>
      <c r="AL23" s="346"/>
      <c r="AM23" s="347"/>
      <c r="AN23" s="348" t="s">
        <v>49</v>
      </c>
      <c r="AO23" s="348"/>
      <c r="AP23" s="348"/>
      <c r="AQ23" s="349" t="s">
        <v>68</v>
      </c>
      <c r="AR23" s="350"/>
      <c r="AS23" s="351"/>
      <c r="AT23" s="96" t="s">
        <v>60</v>
      </c>
      <c r="AU23" s="352">
        <f>SUM(AQ7:AQ9)</f>
        <v>0</v>
      </c>
      <c r="AV23" s="353"/>
      <c r="AW23" s="352">
        <f>SUM(AQ10:AQ12)</f>
        <v>0</v>
      </c>
      <c r="AX23" s="354"/>
      <c r="AY23" s="352">
        <f>SUM(AQ13:AQ15)</f>
        <v>0</v>
      </c>
      <c r="AZ23" s="353"/>
      <c r="BA23" s="355">
        <f>SUM(AU23:AZ23)</f>
        <v>0</v>
      </c>
      <c r="BB23" s="356"/>
    </row>
    <row r="24" spans="18:62" ht="57" customHeight="1">
      <c r="S24" s="367"/>
      <c r="T24" s="368"/>
      <c r="U24" s="368"/>
      <c r="V24" s="368"/>
      <c r="W24" s="369"/>
      <c r="X24" s="373" t="s">
        <v>73</v>
      </c>
      <c r="Y24" s="104" t="s">
        <v>70</v>
      </c>
      <c r="Z24" s="105" t="s">
        <v>71</v>
      </c>
      <c r="AA24" s="103"/>
      <c r="AB24" s="103"/>
      <c r="AC24" s="375" t="s">
        <v>72</v>
      </c>
      <c r="AD24" s="376"/>
      <c r="AE24" s="377" t="s">
        <v>57</v>
      </c>
      <c r="AF24" s="378"/>
      <c r="AG24" s="379" t="s">
        <v>58</v>
      </c>
      <c r="AH24" s="380"/>
      <c r="AI24" s="381"/>
      <c r="AJ24" s="382">
        <f>AVERAGE(Z7:Z9)</f>
        <v>0</v>
      </c>
      <c r="AK24" s="383"/>
      <c r="AL24" s="383"/>
      <c r="AM24" s="383"/>
      <c r="AN24" s="382">
        <f>AVERAGE(Z10)</f>
        <v>0</v>
      </c>
      <c r="AO24" s="383"/>
      <c r="AP24" s="383"/>
      <c r="AQ24" s="382">
        <f>AVERAGE(Z13:Z15)</f>
        <v>0</v>
      </c>
      <c r="AR24" s="383"/>
      <c r="AS24" s="383"/>
      <c r="AT24" s="97" t="s">
        <v>64</v>
      </c>
      <c r="AU24" s="387">
        <f>SUM(AL7:AP9)</f>
        <v>0</v>
      </c>
      <c r="AV24" s="388"/>
      <c r="AW24" s="387">
        <f>SUM(AL10:AP12)</f>
        <v>0</v>
      </c>
      <c r="AX24" s="388"/>
      <c r="AY24" s="387">
        <f>SUM(AL13:AP15)</f>
        <v>0</v>
      </c>
      <c r="AZ24" s="388"/>
      <c r="BA24" s="389">
        <f>SUM(AU24:AZ24)</f>
        <v>0</v>
      </c>
      <c r="BB24" s="390"/>
    </row>
    <row r="25" spans="18:62" ht="52.5" customHeight="1">
      <c r="S25" s="370"/>
      <c r="T25" s="371"/>
      <c r="U25" s="371"/>
      <c r="V25" s="371"/>
      <c r="W25" s="372"/>
      <c r="X25" s="374"/>
      <c r="Y25" s="106">
        <f>SUM(AD7:AD9)</f>
        <v>0</v>
      </c>
      <c r="Z25" s="106">
        <f>SUM(AD10:AD12)</f>
        <v>0</v>
      </c>
      <c r="AA25" s="107"/>
      <c r="AB25" s="107"/>
      <c r="AC25" s="391">
        <f>SUM(AD13:AD15)</f>
        <v>0</v>
      </c>
      <c r="AD25" s="392"/>
      <c r="AE25" s="393">
        <f>SUM(Y25:AD25)</f>
        <v>0</v>
      </c>
      <c r="AF25" s="394"/>
      <c r="AG25" s="379" t="s">
        <v>59</v>
      </c>
      <c r="AH25" s="380"/>
      <c r="AI25" s="381"/>
      <c r="AJ25" s="382">
        <f>SUM(Z7:Z9)</f>
        <v>0</v>
      </c>
      <c r="AK25" s="383"/>
      <c r="AL25" s="383"/>
      <c r="AM25" s="383"/>
      <c r="AN25" s="382">
        <f>SUM(Z10:Z12)</f>
        <v>0</v>
      </c>
      <c r="AO25" s="383"/>
      <c r="AP25" s="383"/>
      <c r="AQ25" s="382">
        <f>SUM(Z13:Z15)</f>
        <v>0</v>
      </c>
      <c r="AR25" s="383"/>
      <c r="AS25" s="383"/>
      <c r="AT25" s="384"/>
      <c r="AU25" s="385"/>
      <c r="AV25" s="385"/>
      <c r="AW25" s="385"/>
      <c r="AX25" s="385"/>
      <c r="AY25" s="385"/>
      <c r="AZ25" s="385"/>
      <c r="BA25" s="385"/>
      <c r="BB25" s="386"/>
    </row>
    <row r="26" spans="18:62" ht="60.75" customHeight="1"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8:62" ht="30" customHeight="1"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8:62" ht="30" customHeight="1"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T28" s="4"/>
      <c r="AU28" s="4"/>
      <c r="AV28" s="4"/>
      <c r="AW28" s="4"/>
      <c r="AX28" s="4"/>
      <c r="AY28" s="4"/>
      <c r="AZ28" s="4"/>
      <c r="BA28" s="4"/>
    </row>
    <row r="29" spans="18:62" ht="30" customHeight="1"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T29" s="4"/>
      <c r="AU29" s="4"/>
      <c r="AV29" s="4"/>
      <c r="AW29" s="4"/>
      <c r="AX29" s="4"/>
      <c r="AY29" s="4"/>
      <c r="AZ29" s="4"/>
      <c r="BA29" s="4"/>
    </row>
    <row r="30" spans="18:62" ht="30" customHeight="1">
      <c r="R30" s="3"/>
      <c r="S30" s="3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T30" s="4"/>
      <c r="AU30" s="4"/>
      <c r="AV30" s="4"/>
      <c r="AW30" s="4"/>
      <c r="AX30" s="4"/>
      <c r="AY30" s="4"/>
      <c r="AZ30" s="4"/>
      <c r="BA30" s="4"/>
    </row>
    <row r="31" spans="18:62" ht="30" customHeight="1">
      <c r="R31" s="3"/>
      <c r="S31" s="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T31" s="4"/>
      <c r="AU31" s="4"/>
      <c r="AV31" s="4"/>
      <c r="AW31" s="4"/>
      <c r="AX31" s="4"/>
      <c r="AY31" s="4"/>
      <c r="AZ31" s="4"/>
      <c r="BA31" s="4"/>
    </row>
    <row r="32" spans="18:62" ht="15" customHeight="1">
      <c r="S32" s="3"/>
      <c r="BJ32" s="4">
        <v>8</v>
      </c>
    </row>
  </sheetData>
  <mergeCells count="145">
    <mergeCell ref="S1:W3"/>
    <mergeCell ref="X1:Y3"/>
    <mergeCell ref="AC1:AE1"/>
    <mergeCell ref="AF1:AH1"/>
    <mergeCell ref="AI1:AL1"/>
    <mergeCell ref="AM1:AP1"/>
    <mergeCell ref="AF3:AH3"/>
    <mergeCell ref="AI3:AL3"/>
    <mergeCell ref="AM3:AP3"/>
    <mergeCell ref="AQ1:AT1"/>
    <mergeCell ref="AU1:AW1"/>
    <mergeCell ref="AF5:AF6"/>
    <mergeCell ref="AG5:AG6"/>
    <mergeCell ref="AX1:BB3"/>
    <mergeCell ref="AC2:AE2"/>
    <mergeCell ref="AF2:AH2"/>
    <mergeCell ref="AI2:AL2"/>
    <mergeCell ref="AM2:AP2"/>
    <mergeCell ref="AQ2:AT2"/>
    <mergeCell ref="AU2:AW2"/>
    <mergeCell ref="AC3:AE3"/>
    <mergeCell ref="AQ3:AT3"/>
    <mergeCell ref="AU3:AW3"/>
    <mergeCell ref="AX4:BB4"/>
    <mergeCell ref="BA5:BA6"/>
    <mergeCell ref="BB5:BB6"/>
    <mergeCell ref="S4:Z4"/>
    <mergeCell ref="AA4:AB4"/>
    <mergeCell ref="AC4:AD4"/>
    <mergeCell ref="AE4:AJ4"/>
    <mergeCell ref="AL4:AQ4"/>
    <mergeCell ref="AS4:AW4"/>
    <mergeCell ref="T7:T9"/>
    <mergeCell ref="T10:T12"/>
    <mergeCell ref="T13:T15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S16:AF16"/>
    <mergeCell ref="AG16:AS16"/>
    <mergeCell ref="AT16:BB16"/>
    <mergeCell ref="AU5:AU6"/>
    <mergeCell ref="AV5:AV6"/>
    <mergeCell ref="AW5:AW6"/>
    <mergeCell ref="AX5:AX6"/>
    <mergeCell ref="AY5:AY6"/>
    <mergeCell ref="AZ5:AZ6"/>
    <mergeCell ref="AH5:AH6"/>
    <mergeCell ref="AI5:AI6"/>
    <mergeCell ref="AJ5:AJ6"/>
    <mergeCell ref="AK5:AR5"/>
    <mergeCell ref="AS5:AS6"/>
    <mergeCell ref="AT5:AT6"/>
    <mergeCell ref="AB5:AB6"/>
    <mergeCell ref="AC5:AC6"/>
    <mergeCell ref="AD5:AD6"/>
    <mergeCell ref="AE5:AE6"/>
    <mergeCell ref="AU18:AV18"/>
    <mergeCell ref="BA18:BB18"/>
    <mergeCell ref="T19:U19"/>
    <mergeCell ref="V19:W19"/>
    <mergeCell ref="Z19:AF19"/>
    <mergeCell ref="AG19:AS19"/>
    <mergeCell ref="AU19:AV19"/>
    <mergeCell ref="BA19:BB19"/>
    <mergeCell ref="AO17:AS17"/>
    <mergeCell ref="AU17:AV17"/>
    <mergeCell ref="BA17:BB17"/>
    <mergeCell ref="T18:U18"/>
    <mergeCell ref="V18:W18"/>
    <mergeCell ref="Z18:AF18"/>
    <mergeCell ref="AG18:AH18"/>
    <mergeCell ref="AI18:AJ18"/>
    <mergeCell ref="AL18:AN18"/>
    <mergeCell ref="AO18:AS18"/>
    <mergeCell ref="T17:U17"/>
    <mergeCell ref="V17:W17"/>
    <mergeCell ref="Z17:AF17"/>
    <mergeCell ref="AG17:AH17"/>
    <mergeCell ref="AI17:AJ17"/>
    <mergeCell ref="AL17:AN17"/>
    <mergeCell ref="AO20:AS20"/>
    <mergeCell ref="AU20:AV20"/>
    <mergeCell ref="BA20:BB20"/>
    <mergeCell ref="T21:U21"/>
    <mergeCell ref="V21:W21"/>
    <mergeCell ref="Z21:AF21"/>
    <mergeCell ref="AG21:AS21"/>
    <mergeCell ref="AT21:AV21"/>
    <mergeCell ref="AW21:AX21"/>
    <mergeCell ref="AY21:AZ21"/>
    <mergeCell ref="T20:U20"/>
    <mergeCell ref="V20:W20"/>
    <mergeCell ref="Z20:AF20"/>
    <mergeCell ref="AG20:AH20"/>
    <mergeCell ref="AI20:AJ20"/>
    <mergeCell ref="AL20:AN20"/>
    <mergeCell ref="BA21:BB21"/>
    <mergeCell ref="AY22:AZ22"/>
    <mergeCell ref="BA22:BB22"/>
    <mergeCell ref="S23:W23"/>
    <mergeCell ref="AC23:AD23"/>
    <mergeCell ref="AE23:AF23"/>
    <mergeCell ref="AG23:AI23"/>
    <mergeCell ref="AJ23:AM23"/>
    <mergeCell ref="AN23:AP23"/>
    <mergeCell ref="AQ23:AS23"/>
    <mergeCell ref="AU23:AV23"/>
    <mergeCell ref="AW23:AX23"/>
    <mergeCell ref="AY23:AZ23"/>
    <mergeCell ref="BA23:BB23"/>
    <mergeCell ref="T22:U22"/>
    <mergeCell ref="V22:W22"/>
    <mergeCell ref="Z22:AF22"/>
    <mergeCell ref="AG22:AH22"/>
    <mergeCell ref="AI22:AJ22"/>
    <mergeCell ref="AL22:AN22"/>
    <mergeCell ref="AO22:AS22"/>
    <mergeCell ref="AU22:AV22"/>
    <mergeCell ref="AW22:AX22"/>
    <mergeCell ref="S24:W25"/>
    <mergeCell ref="X24:X25"/>
    <mergeCell ref="AC24:AD24"/>
    <mergeCell ref="AE24:AF24"/>
    <mergeCell ref="AG24:AI24"/>
    <mergeCell ref="AJ24:AM24"/>
    <mergeCell ref="AN24:AP24"/>
    <mergeCell ref="AQ25:AS25"/>
    <mergeCell ref="AT25:BB25"/>
    <mergeCell ref="AQ24:AS24"/>
    <mergeCell ref="AU24:AV24"/>
    <mergeCell ref="AW24:AX24"/>
    <mergeCell ref="AY24:AZ24"/>
    <mergeCell ref="BA24:BB24"/>
    <mergeCell ref="AC25:AD25"/>
    <mergeCell ref="AE25:AF25"/>
    <mergeCell ref="AG25:AI25"/>
    <mergeCell ref="AJ25:AM25"/>
    <mergeCell ref="AN25:AP25"/>
  </mergeCells>
  <conditionalFormatting sqref="Z7:Z15">
    <cfRule type="cellIs" dxfId="116" priority="7" operator="greaterThan">
      <formula>0.167361111111111</formula>
    </cfRule>
    <cfRule type="cellIs" dxfId="115" priority="8" operator="greaterThan">
      <formula>0.15625</formula>
    </cfRule>
  </conditionalFormatting>
  <conditionalFormatting sqref="AA7:AJ15">
    <cfRule type="cellIs" dxfId="114" priority="2" operator="between">
      <formula>1700</formula>
      <formula>1710</formula>
    </cfRule>
    <cfRule type="cellIs" dxfId="113" priority="3" operator="between">
      <formula>1691</formula>
      <formula>1700</formula>
    </cfRule>
  </conditionalFormatting>
  <conditionalFormatting sqref="AS7:AS15">
    <cfRule type="expression" dxfId="112" priority="4">
      <formula>IF(($AS7/$AX7)*1000&gt;$AY$1,1,0)</formula>
    </cfRule>
  </conditionalFormatting>
  <conditionalFormatting sqref="AT7:AW15">
    <cfRule type="cellIs" dxfId="111" priority="1" operator="greaterThan">
      <formula>10</formula>
    </cfRule>
  </conditionalFormatting>
  <conditionalFormatting sqref="AX7:AX15">
    <cfRule type="cellIs" dxfId="110" priority="6" operator="between">
      <formula>16000</formula>
      <formula>17200</formula>
    </cfRule>
    <cfRule type="cellIs" dxfId="109" priority="10" operator="lessThan">
      <formula>15800</formula>
    </cfRule>
    <cfRule type="cellIs" dxfId="108" priority="11" operator="greaterThan">
      <formula>18000</formula>
    </cfRule>
  </conditionalFormatting>
  <conditionalFormatting sqref="AZ7:BA15">
    <cfRule type="cellIs" dxfId="107" priority="14" operator="greaterThan">
      <formula>0</formula>
    </cfRule>
  </conditionalFormatting>
  <conditionalFormatting sqref="BB7:BB15">
    <cfRule type="cellIs" dxfId="106" priority="5" operator="between">
      <formula>16000</formula>
      <formula>17200</formula>
    </cfRule>
    <cfRule type="cellIs" dxfId="105" priority="12" operator="greaterThan">
      <formula>18000</formula>
    </cfRule>
    <cfRule type="cellIs" dxfId="104" priority="13" operator="lessThan">
      <formula>15800</formula>
    </cfRule>
  </conditionalFormatting>
  <printOptions horizontalCentered="1" verticalCentered="1"/>
  <pageMargins left="0" right="0" top="0" bottom="0.21" header="0" footer="0"/>
  <pageSetup paperSize="9" scale="42" orientation="landscape" cellComments="asDisplayed" r:id="rId1"/>
  <headerFooter differentFirst="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505E9-1BBC-4F7E-9E4C-1666D5B54ABE}">
  <sheetPr>
    <tabColor theme="5"/>
    <pageSetUpPr fitToPage="1"/>
  </sheetPr>
  <dimension ref="R1:BJ32"/>
  <sheetViews>
    <sheetView showGridLines="0" rightToLeft="1" topLeftCell="P1" zoomScale="55" zoomScaleNormal="55" zoomScalePageLayoutView="40" workbookViewId="0">
      <selection activeCell="AT7" sqref="AT7"/>
    </sheetView>
  </sheetViews>
  <sheetFormatPr defaultColWidth="9.140625" defaultRowHeight="15"/>
  <cols>
    <col min="1" max="18" width="9.140625" style="4"/>
    <col min="19" max="19" width="5.7109375" style="4" customWidth="1"/>
    <col min="20" max="20" width="9.5703125" style="3" customWidth="1"/>
    <col min="21" max="21" width="10.7109375" style="3" customWidth="1"/>
    <col min="22" max="22" width="9.42578125" style="88" customWidth="1"/>
    <col min="23" max="23" width="8.85546875" style="88" customWidth="1"/>
    <col min="24" max="24" width="14.42578125" style="3" customWidth="1"/>
    <col min="25" max="25" width="14.7109375" style="3" customWidth="1"/>
    <col min="26" max="26" width="15.140625" style="88" customWidth="1"/>
    <col min="27" max="27" width="9.5703125" style="3" hidden="1" customWidth="1"/>
    <col min="28" max="28" width="10" style="3" hidden="1" customWidth="1"/>
    <col min="29" max="29" width="8.140625" style="3" customWidth="1"/>
    <col min="30" max="30" width="8.5703125" style="3" customWidth="1"/>
    <col min="31" max="31" width="12.42578125" style="3" customWidth="1"/>
    <col min="32" max="32" width="10.5703125" style="3" customWidth="1"/>
    <col min="33" max="33" width="9.5703125" style="3" customWidth="1"/>
    <col min="34" max="34" width="11.42578125" style="3" customWidth="1"/>
    <col min="35" max="35" width="9.42578125" style="3" customWidth="1"/>
    <col min="36" max="36" width="9.28515625" style="3" customWidth="1"/>
    <col min="37" max="37" width="6.7109375" style="3" hidden="1" customWidth="1"/>
    <col min="38" max="42" width="6.7109375" style="3" customWidth="1"/>
    <col min="43" max="43" width="8.140625" style="3" customWidth="1"/>
    <col min="44" max="44" width="6.7109375" style="3" hidden="1" customWidth="1"/>
    <col min="45" max="45" width="10.42578125" style="3" customWidth="1"/>
    <col min="46" max="46" width="8.7109375" style="3" customWidth="1"/>
    <col min="47" max="47" width="8.5703125" style="3" customWidth="1"/>
    <col min="48" max="48" width="8.7109375" style="3" customWidth="1"/>
    <col min="49" max="49" width="9.5703125" style="3" customWidth="1"/>
    <col min="50" max="50" width="12.42578125" style="88" customWidth="1"/>
    <col min="51" max="51" width="11.85546875" style="3" customWidth="1"/>
    <col min="52" max="52" width="11.5703125" style="3" customWidth="1"/>
    <col min="53" max="53" width="13.42578125" style="3" customWidth="1"/>
    <col min="54" max="54" width="13.5703125" style="4" customWidth="1"/>
    <col min="55" max="57" width="9.140625" style="4"/>
    <col min="58" max="58" width="25" style="4" customWidth="1"/>
    <col min="59" max="61" width="9.140625" style="4"/>
    <col min="62" max="62" width="23.5703125" style="4" customWidth="1"/>
    <col min="63" max="16384" width="9.140625" style="4"/>
  </cols>
  <sheetData>
    <row r="1" spans="19:54" ht="36.75" customHeight="1" thickBot="1">
      <c r="S1" s="180"/>
      <c r="T1" s="181"/>
      <c r="U1" s="181"/>
      <c r="V1" s="181"/>
      <c r="W1" s="181"/>
      <c r="X1" s="182" t="s">
        <v>0</v>
      </c>
      <c r="Y1" s="183"/>
      <c r="Z1" s="1" t="s">
        <v>1</v>
      </c>
      <c r="AA1" s="2"/>
      <c r="AC1" s="188" t="s">
        <v>2</v>
      </c>
      <c r="AD1" s="189"/>
      <c r="AE1" s="189"/>
      <c r="AF1" s="190" t="s">
        <v>75</v>
      </c>
      <c r="AG1" s="191"/>
      <c r="AH1" s="192"/>
      <c r="AI1" s="193" t="s">
        <v>3</v>
      </c>
      <c r="AJ1" s="194"/>
      <c r="AK1" s="194"/>
      <c r="AL1" s="195"/>
      <c r="AM1" s="196" t="s">
        <v>76</v>
      </c>
      <c r="AN1" s="197"/>
      <c r="AO1" s="197"/>
      <c r="AP1" s="198"/>
      <c r="AQ1" s="203" t="s">
        <v>4</v>
      </c>
      <c r="AR1" s="204"/>
      <c r="AS1" s="204"/>
      <c r="AT1" s="205"/>
      <c r="AU1" s="206" t="s">
        <v>74</v>
      </c>
      <c r="AV1" s="207"/>
      <c r="AW1" s="208"/>
      <c r="AX1" s="211" t="s">
        <v>100</v>
      </c>
      <c r="AY1" s="211"/>
      <c r="AZ1" s="211"/>
      <c r="BA1" s="211"/>
      <c r="BB1" s="211"/>
    </row>
    <row r="2" spans="19:54" ht="36.75" customHeight="1" thickBot="1">
      <c r="S2" s="180"/>
      <c r="T2" s="181"/>
      <c r="U2" s="181"/>
      <c r="V2" s="181"/>
      <c r="W2" s="181"/>
      <c r="X2" s="184"/>
      <c r="Y2" s="185"/>
      <c r="Z2" s="5" t="s">
        <v>5</v>
      </c>
      <c r="AA2" s="89"/>
      <c r="AC2" s="188" t="s">
        <v>2</v>
      </c>
      <c r="AD2" s="189"/>
      <c r="AE2" s="212"/>
      <c r="AF2" s="190" t="s">
        <v>78</v>
      </c>
      <c r="AG2" s="191"/>
      <c r="AH2" s="192"/>
      <c r="AI2" s="193" t="s">
        <v>3</v>
      </c>
      <c r="AJ2" s="194"/>
      <c r="AK2" s="194"/>
      <c r="AL2" s="195"/>
      <c r="AM2" s="202" t="s">
        <v>79</v>
      </c>
      <c r="AN2" s="202"/>
      <c r="AO2" s="202"/>
      <c r="AP2" s="202"/>
      <c r="AQ2" s="203" t="s">
        <v>4</v>
      </c>
      <c r="AR2" s="204"/>
      <c r="AS2" s="204"/>
      <c r="AT2" s="205"/>
      <c r="AU2" s="213" t="s">
        <v>77</v>
      </c>
      <c r="AV2" s="213"/>
      <c r="AW2" s="213"/>
      <c r="AX2" s="211"/>
      <c r="AY2" s="211"/>
      <c r="AZ2" s="211"/>
      <c r="BA2" s="211"/>
      <c r="BB2" s="211"/>
    </row>
    <row r="3" spans="19:54" ht="38.25" customHeight="1" thickBot="1">
      <c r="S3" s="181"/>
      <c r="T3" s="181"/>
      <c r="U3" s="181"/>
      <c r="V3" s="181"/>
      <c r="W3" s="181"/>
      <c r="X3" s="186"/>
      <c r="Y3" s="187"/>
      <c r="Z3" s="90" t="s">
        <v>65</v>
      </c>
      <c r="AA3" s="6"/>
      <c r="AC3" s="188" t="s">
        <v>6</v>
      </c>
      <c r="AD3" s="189"/>
      <c r="AE3" s="212"/>
      <c r="AF3" s="190" t="s">
        <v>81</v>
      </c>
      <c r="AG3" s="191"/>
      <c r="AH3" s="192"/>
      <c r="AI3" s="199" t="s">
        <v>7</v>
      </c>
      <c r="AJ3" s="200"/>
      <c r="AK3" s="200"/>
      <c r="AL3" s="201"/>
      <c r="AM3" s="202" t="s">
        <v>82</v>
      </c>
      <c r="AN3" s="202"/>
      <c r="AO3" s="202"/>
      <c r="AP3" s="202"/>
      <c r="AQ3" s="203" t="s">
        <v>4</v>
      </c>
      <c r="AR3" s="204"/>
      <c r="AS3" s="204"/>
      <c r="AT3" s="214"/>
      <c r="AU3" s="215" t="s">
        <v>80</v>
      </c>
      <c r="AV3" s="216"/>
      <c r="AW3" s="217"/>
      <c r="AX3" s="211"/>
      <c r="AY3" s="211"/>
      <c r="AZ3" s="211"/>
      <c r="BA3" s="211"/>
      <c r="BB3" s="211"/>
    </row>
    <row r="4" spans="19:54" ht="34.5" customHeight="1" thickBot="1">
      <c r="S4" s="225" t="s">
        <v>8</v>
      </c>
      <c r="T4" s="226"/>
      <c r="U4" s="226"/>
      <c r="V4" s="226"/>
      <c r="W4" s="226"/>
      <c r="X4" s="227"/>
      <c r="Y4" s="227"/>
      <c r="Z4" s="228"/>
      <c r="AA4" s="229" t="s">
        <v>9</v>
      </c>
      <c r="AB4" s="230"/>
      <c r="AC4" s="231" t="s">
        <v>10</v>
      </c>
      <c r="AD4" s="232"/>
      <c r="AE4" s="233" t="s">
        <v>11</v>
      </c>
      <c r="AF4" s="234"/>
      <c r="AG4" s="234"/>
      <c r="AH4" s="234"/>
      <c r="AI4" s="234"/>
      <c r="AJ4" s="235"/>
      <c r="AK4" s="7"/>
      <c r="AL4" s="236" t="s">
        <v>12</v>
      </c>
      <c r="AM4" s="237"/>
      <c r="AN4" s="237"/>
      <c r="AO4" s="237"/>
      <c r="AP4" s="237"/>
      <c r="AQ4" s="237"/>
      <c r="AR4" s="8"/>
      <c r="AS4" s="238" t="s">
        <v>13</v>
      </c>
      <c r="AT4" s="239"/>
      <c r="AU4" s="239"/>
      <c r="AV4" s="239"/>
      <c r="AW4" s="240"/>
      <c r="AX4" s="218" t="s">
        <v>14</v>
      </c>
      <c r="AY4" s="219"/>
      <c r="AZ4" s="219"/>
      <c r="BA4" s="219"/>
      <c r="BB4" s="220"/>
    </row>
    <row r="5" spans="19:54" ht="52.5" customHeight="1">
      <c r="S5" s="246" t="s">
        <v>15</v>
      </c>
      <c r="T5" s="248" t="s">
        <v>16</v>
      </c>
      <c r="U5" s="248" t="s">
        <v>17</v>
      </c>
      <c r="V5" s="248" t="s">
        <v>18</v>
      </c>
      <c r="W5" s="248" t="s">
        <v>19</v>
      </c>
      <c r="X5" s="248" t="s">
        <v>20</v>
      </c>
      <c r="Y5" s="248" t="s">
        <v>21</v>
      </c>
      <c r="Z5" s="250" t="s">
        <v>22</v>
      </c>
      <c r="AA5" s="252" t="s">
        <v>23</v>
      </c>
      <c r="AB5" s="270" t="s">
        <v>9</v>
      </c>
      <c r="AC5" s="272" t="s">
        <v>24</v>
      </c>
      <c r="AD5" s="272" t="s">
        <v>25</v>
      </c>
      <c r="AE5" s="274" t="s">
        <v>26</v>
      </c>
      <c r="AF5" s="209" t="s">
        <v>27</v>
      </c>
      <c r="AG5" s="209" t="s">
        <v>28</v>
      </c>
      <c r="AH5" s="263" t="s">
        <v>29</v>
      </c>
      <c r="AI5" s="263" t="s">
        <v>30</v>
      </c>
      <c r="AJ5" s="265" t="s">
        <v>31</v>
      </c>
      <c r="AK5" s="267" t="s">
        <v>32</v>
      </c>
      <c r="AL5" s="268"/>
      <c r="AM5" s="268"/>
      <c r="AN5" s="268"/>
      <c r="AO5" s="268"/>
      <c r="AP5" s="268"/>
      <c r="AQ5" s="268"/>
      <c r="AR5" s="269"/>
      <c r="AS5" s="259" t="s">
        <v>33</v>
      </c>
      <c r="AT5" s="259" t="s">
        <v>34</v>
      </c>
      <c r="AU5" s="259" t="s">
        <v>35</v>
      </c>
      <c r="AV5" s="259" t="s">
        <v>66</v>
      </c>
      <c r="AW5" s="261" t="s">
        <v>36</v>
      </c>
      <c r="AX5" s="252" t="s">
        <v>37</v>
      </c>
      <c r="AY5" s="221" t="s">
        <v>38</v>
      </c>
      <c r="AZ5" s="221" t="s">
        <v>39</v>
      </c>
      <c r="BA5" s="221" t="s">
        <v>40</v>
      </c>
      <c r="BB5" s="223" t="s">
        <v>41</v>
      </c>
    </row>
    <row r="6" spans="19:54" ht="27.95" customHeight="1" thickBot="1">
      <c r="S6" s="247"/>
      <c r="T6" s="249"/>
      <c r="U6" s="249"/>
      <c r="V6" s="249"/>
      <c r="W6" s="249"/>
      <c r="X6" s="249"/>
      <c r="Y6" s="249"/>
      <c r="Z6" s="251"/>
      <c r="AA6" s="253"/>
      <c r="AB6" s="271"/>
      <c r="AC6" s="273"/>
      <c r="AD6" s="273"/>
      <c r="AE6" s="275"/>
      <c r="AF6" s="210"/>
      <c r="AG6" s="210"/>
      <c r="AH6" s="264"/>
      <c r="AI6" s="264"/>
      <c r="AJ6" s="266"/>
      <c r="AK6" s="9">
        <v>1</v>
      </c>
      <c r="AL6" s="10">
        <v>2</v>
      </c>
      <c r="AM6" s="10">
        <v>3</v>
      </c>
      <c r="AN6" s="10">
        <v>4</v>
      </c>
      <c r="AO6" s="10">
        <v>5</v>
      </c>
      <c r="AP6" s="10">
        <v>6</v>
      </c>
      <c r="AQ6" s="10">
        <v>12</v>
      </c>
      <c r="AR6" s="11"/>
      <c r="AS6" s="260"/>
      <c r="AT6" s="260"/>
      <c r="AU6" s="260"/>
      <c r="AV6" s="260"/>
      <c r="AW6" s="262"/>
      <c r="AX6" s="253"/>
      <c r="AY6" s="222"/>
      <c r="AZ6" s="222"/>
      <c r="BA6" s="222"/>
      <c r="BB6" s="224"/>
    </row>
    <row r="7" spans="19:54" s="34" customFormat="1" ht="48" customHeight="1" thickBot="1">
      <c r="S7" s="12">
        <v>1</v>
      </c>
      <c r="T7" s="241" t="s">
        <v>1</v>
      </c>
      <c r="U7" s="13"/>
      <c r="V7" s="14"/>
      <c r="W7" s="15"/>
      <c r="X7" s="16"/>
      <c r="Y7" s="17"/>
      <c r="Z7" s="18">
        <f t="shared" ref="Z7:Z15" si="0">IF(Y7&lt;X7,1+Y7-X7,Y7-X7)</f>
        <v>0</v>
      </c>
      <c r="AA7" s="19"/>
      <c r="AB7" s="20"/>
      <c r="AC7" s="21"/>
      <c r="AD7" s="100"/>
      <c r="AE7" s="22"/>
      <c r="AF7" s="23"/>
      <c r="AG7" s="23"/>
      <c r="AH7" s="23"/>
      <c r="AI7" s="23"/>
      <c r="AJ7" s="24"/>
      <c r="AK7" s="25"/>
      <c r="AL7" s="26"/>
      <c r="AM7" s="26"/>
      <c r="AN7" s="26"/>
      <c r="AO7" s="26"/>
      <c r="AP7" s="26"/>
      <c r="AQ7" s="26"/>
      <c r="AR7" s="27"/>
      <c r="AS7" s="28"/>
      <c r="AT7" s="13"/>
      <c r="AU7" s="13"/>
      <c r="AV7" s="13"/>
      <c r="AW7" s="29"/>
      <c r="AX7" s="30">
        <f t="shared" ref="AX7:AX15" si="1">SUM(AY7:BB7)</f>
        <v>0</v>
      </c>
      <c r="AY7" s="31">
        <v>0</v>
      </c>
      <c r="AZ7" s="32">
        <v>0</v>
      </c>
      <c r="BA7" s="31">
        <v>0</v>
      </c>
      <c r="BB7" s="33">
        <f t="shared" ref="BB7:BB15" si="2">SUM(($AQ$6*AQ7+$AP$6*AP7+$AN$6*AN7+$AM$6*$AM7+$AL$6*AL7+$AK$6*AK7+$AO$6*AO7+$AR$6*AR7)*175)</f>
        <v>0</v>
      </c>
    </row>
    <row r="8" spans="19:54" s="34" customFormat="1" ht="48" customHeight="1" thickBot="1">
      <c r="S8" s="12">
        <v>2</v>
      </c>
      <c r="T8" s="242"/>
      <c r="U8" s="35"/>
      <c r="V8" s="119"/>
      <c r="W8" s="119"/>
      <c r="X8" s="36"/>
      <c r="Y8" s="36"/>
      <c r="Z8" s="37">
        <f t="shared" si="0"/>
        <v>0</v>
      </c>
      <c r="AA8" s="38"/>
      <c r="AB8" s="39"/>
      <c r="AC8" s="147"/>
      <c r="AD8" s="101"/>
      <c r="AE8" s="41"/>
      <c r="AF8" s="42"/>
      <c r="AG8" s="42"/>
      <c r="AH8" s="42"/>
      <c r="AI8" s="42"/>
      <c r="AJ8" s="43"/>
      <c r="AK8" s="44"/>
      <c r="AL8" s="45"/>
      <c r="AM8" s="45"/>
      <c r="AN8" s="45"/>
      <c r="AO8" s="45"/>
      <c r="AP8" s="45"/>
      <c r="AQ8" s="45"/>
      <c r="AR8" s="46"/>
      <c r="AS8" s="47"/>
      <c r="AT8" s="35"/>
      <c r="AU8" s="35"/>
      <c r="AV8" s="35"/>
      <c r="AW8" s="48"/>
      <c r="AX8" s="49">
        <f t="shared" si="1"/>
        <v>0</v>
      </c>
      <c r="AY8" s="50">
        <v>0</v>
      </c>
      <c r="AZ8" s="51">
        <v>0</v>
      </c>
      <c r="BA8" s="52">
        <v>0</v>
      </c>
      <c r="BB8" s="53">
        <f t="shared" si="2"/>
        <v>0</v>
      </c>
    </row>
    <row r="9" spans="19:54" s="34" customFormat="1" ht="48" customHeight="1" thickBot="1">
      <c r="S9" s="12">
        <v>3</v>
      </c>
      <c r="T9" s="242"/>
      <c r="U9" s="35"/>
      <c r="V9" s="119"/>
      <c r="W9" s="119"/>
      <c r="X9" s="36"/>
      <c r="Y9" s="36"/>
      <c r="Z9" s="37">
        <f t="shared" si="0"/>
        <v>0</v>
      </c>
      <c r="AA9" s="38"/>
      <c r="AB9" s="39"/>
      <c r="AC9" s="40"/>
      <c r="AD9" s="101"/>
      <c r="AE9" s="41"/>
      <c r="AF9" s="42"/>
      <c r="AG9" s="42"/>
      <c r="AH9" s="42"/>
      <c r="AI9" s="42"/>
      <c r="AJ9" s="43"/>
      <c r="AK9" s="44"/>
      <c r="AL9" s="45"/>
      <c r="AM9" s="45"/>
      <c r="AN9" s="45"/>
      <c r="AO9" s="45"/>
      <c r="AP9" s="45"/>
      <c r="AQ9" s="45"/>
      <c r="AR9" s="46"/>
      <c r="AS9" s="47"/>
      <c r="AT9" s="35"/>
      <c r="AU9" s="35"/>
      <c r="AV9" s="35"/>
      <c r="AW9" s="48"/>
      <c r="AX9" s="49">
        <f t="shared" si="1"/>
        <v>0</v>
      </c>
      <c r="AY9" s="51">
        <v>0</v>
      </c>
      <c r="AZ9" s="52">
        <v>0</v>
      </c>
      <c r="BA9" s="51">
        <v>0</v>
      </c>
      <c r="BB9" s="53">
        <f t="shared" si="2"/>
        <v>0</v>
      </c>
    </row>
    <row r="10" spans="19:54" s="34" customFormat="1" ht="48" customHeight="1" thickBot="1">
      <c r="S10" s="12">
        <v>4</v>
      </c>
      <c r="T10" s="243" t="s">
        <v>5</v>
      </c>
      <c r="U10" s="13"/>
      <c r="V10" s="14"/>
      <c r="W10" s="15"/>
      <c r="X10" s="16"/>
      <c r="Y10" s="17"/>
      <c r="Z10" s="37">
        <f t="shared" si="0"/>
        <v>0</v>
      </c>
      <c r="AA10" s="38"/>
      <c r="AB10" s="39"/>
      <c r="AC10" s="21"/>
      <c r="AD10" s="100"/>
      <c r="AE10" s="22"/>
      <c r="AF10" s="23"/>
      <c r="AG10" s="23"/>
      <c r="AH10" s="23"/>
      <c r="AI10" s="23"/>
      <c r="AJ10" s="24"/>
      <c r="AK10" s="25"/>
      <c r="AL10" s="26"/>
      <c r="AM10" s="26"/>
      <c r="AN10" s="26"/>
      <c r="AO10" s="26"/>
      <c r="AP10" s="26"/>
      <c r="AQ10" s="26"/>
      <c r="AR10" s="27"/>
      <c r="AS10" s="28"/>
      <c r="AT10" s="13"/>
      <c r="AU10" s="13"/>
      <c r="AV10" s="13"/>
      <c r="AW10" s="29"/>
      <c r="AX10" s="49">
        <f t="shared" si="1"/>
        <v>0</v>
      </c>
      <c r="AY10" s="51">
        <v>0</v>
      </c>
      <c r="AZ10" s="52">
        <v>0</v>
      </c>
      <c r="BA10" s="51">
        <v>0</v>
      </c>
      <c r="BB10" s="53">
        <f t="shared" si="2"/>
        <v>0</v>
      </c>
    </row>
    <row r="11" spans="19:54" s="34" customFormat="1" ht="48" customHeight="1" thickBot="1">
      <c r="S11" s="12">
        <v>5</v>
      </c>
      <c r="T11" s="243"/>
      <c r="U11" s="35"/>
      <c r="V11" s="164"/>
      <c r="W11" s="164"/>
      <c r="X11" s="36"/>
      <c r="Y11" s="36"/>
      <c r="Z11" s="37">
        <f t="shared" si="0"/>
        <v>0</v>
      </c>
      <c r="AA11" s="38"/>
      <c r="AB11" s="39"/>
      <c r="AC11" s="147"/>
      <c r="AD11" s="101"/>
      <c r="AE11" s="41"/>
      <c r="AF11" s="42"/>
      <c r="AG11" s="42"/>
      <c r="AH11" s="42"/>
      <c r="AI11" s="42"/>
      <c r="AJ11" s="43"/>
      <c r="AK11" s="44"/>
      <c r="AL11" s="45"/>
      <c r="AM11" s="45"/>
      <c r="AN11" s="45"/>
      <c r="AO11" s="45"/>
      <c r="AP11" s="45"/>
      <c r="AQ11" s="45"/>
      <c r="AR11" s="46"/>
      <c r="AS11" s="47"/>
      <c r="AT11" s="35"/>
      <c r="AU11" s="35"/>
      <c r="AV11" s="35"/>
      <c r="AW11" s="48"/>
      <c r="AX11" s="49">
        <f t="shared" si="1"/>
        <v>0</v>
      </c>
      <c r="AY11" s="50">
        <v>0</v>
      </c>
      <c r="AZ11" s="51">
        <v>0</v>
      </c>
      <c r="BA11" s="52">
        <v>0</v>
      </c>
      <c r="BB11" s="53">
        <f t="shared" si="2"/>
        <v>0</v>
      </c>
    </row>
    <row r="12" spans="19:54" s="34" customFormat="1" ht="48" customHeight="1" thickBot="1">
      <c r="S12" s="12">
        <v>10</v>
      </c>
      <c r="T12" s="243"/>
      <c r="U12" s="13"/>
      <c r="V12" s="14"/>
      <c r="W12" s="14"/>
      <c r="X12" s="54"/>
      <c r="Y12" s="54"/>
      <c r="Z12" s="55">
        <f t="shared" si="0"/>
        <v>0</v>
      </c>
      <c r="AA12" s="19"/>
      <c r="AB12" s="20"/>
      <c r="AC12" s="21"/>
      <c r="AD12" s="100"/>
      <c r="AE12" s="22"/>
      <c r="AF12" s="23"/>
      <c r="AG12" s="23"/>
      <c r="AH12" s="23"/>
      <c r="AI12" s="23"/>
      <c r="AJ12" s="24"/>
      <c r="AK12" s="25"/>
      <c r="AL12" s="26"/>
      <c r="AM12" s="26"/>
      <c r="AN12" s="26"/>
      <c r="AO12" s="26"/>
      <c r="AP12" s="26"/>
      <c r="AQ12" s="26"/>
      <c r="AR12" s="27"/>
      <c r="AS12" s="28"/>
      <c r="AT12" s="13"/>
      <c r="AU12" s="13"/>
      <c r="AV12" s="13"/>
      <c r="AW12" s="29"/>
      <c r="AX12" s="30">
        <f t="shared" si="1"/>
        <v>0</v>
      </c>
      <c r="AY12" s="31">
        <v>0</v>
      </c>
      <c r="AZ12" s="32">
        <v>0</v>
      </c>
      <c r="BA12" s="31">
        <v>0</v>
      </c>
      <c r="BB12" s="56">
        <f t="shared" si="2"/>
        <v>0</v>
      </c>
    </row>
    <row r="13" spans="19:54" s="34" customFormat="1" ht="48" customHeight="1" thickBot="1">
      <c r="S13" s="12">
        <v>11</v>
      </c>
      <c r="T13" s="244" t="s">
        <v>65</v>
      </c>
      <c r="U13" s="35"/>
      <c r="V13" s="119"/>
      <c r="W13" s="119"/>
      <c r="X13" s="36"/>
      <c r="Y13" s="36"/>
      <c r="Z13" s="37">
        <f t="shared" si="0"/>
        <v>0</v>
      </c>
      <c r="AA13" s="38"/>
      <c r="AB13" s="39"/>
      <c r="AC13" s="40"/>
      <c r="AD13" s="101"/>
      <c r="AE13" s="41"/>
      <c r="AF13" s="42"/>
      <c r="AG13" s="42"/>
      <c r="AH13" s="42"/>
      <c r="AI13" s="42"/>
      <c r="AJ13" s="43"/>
      <c r="AK13" s="44"/>
      <c r="AL13" s="45"/>
      <c r="AM13" s="45"/>
      <c r="AN13" s="45"/>
      <c r="AO13" s="45"/>
      <c r="AP13" s="45"/>
      <c r="AQ13" s="45"/>
      <c r="AR13" s="46"/>
      <c r="AS13" s="47"/>
      <c r="AT13" s="35"/>
      <c r="AU13" s="35"/>
      <c r="AV13" s="35"/>
      <c r="AW13" s="48"/>
      <c r="AX13" s="49">
        <f t="shared" si="1"/>
        <v>0</v>
      </c>
      <c r="AY13" s="50">
        <v>0</v>
      </c>
      <c r="AZ13" s="51">
        <v>0</v>
      </c>
      <c r="BA13" s="52">
        <v>0</v>
      </c>
      <c r="BB13" s="57">
        <f t="shared" si="2"/>
        <v>0</v>
      </c>
    </row>
    <row r="14" spans="19:54" s="34" customFormat="1" ht="48" customHeight="1" thickBot="1">
      <c r="S14" s="12">
        <v>12</v>
      </c>
      <c r="T14" s="244"/>
      <c r="U14" s="35"/>
      <c r="V14" s="119"/>
      <c r="W14" s="119"/>
      <c r="X14" s="36"/>
      <c r="Y14" s="36"/>
      <c r="Z14" s="37">
        <f t="shared" si="0"/>
        <v>0</v>
      </c>
      <c r="AA14" s="38"/>
      <c r="AB14" s="39"/>
      <c r="AC14" s="40"/>
      <c r="AD14" s="101"/>
      <c r="AE14" s="41"/>
      <c r="AF14" s="42"/>
      <c r="AG14" s="42"/>
      <c r="AH14" s="42"/>
      <c r="AI14" s="42"/>
      <c r="AJ14" s="43"/>
      <c r="AK14" s="44"/>
      <c r="AL14" s="45"/>
      <c r="AM14" s="45"/>
      <c r="AN14" s="45"/>
      <c r="AO14" s="45"/>
      <c r="AP14" s="45"/>
      <c r="AQ14" s="45"/>
      <c r="AR14" s="46"/>
      <c r="AS14" s="47"/>
      <c r="AT14" s="35"/>
      <c r="AU14" s="35"/>
      <c r="AV14" s="35"/>
      <c r="AW14" s="48"/>
      <c r="AX14" s="49">
        <f t="shared" si="1"/>
        <v>0</v>
      </c>
      <c r="AY14" s="51">
        <v>0</v>
      </c>
      <c r="AZ14" s="52">
        <v>0</v>
      </c>
      <c r="BA14" s="51">
        <v>0</v>
      </c>
      <c r="BB14" s="57">
        <f t="shared" si="2"/>
        <v>0</v>
      </c>
    </row>
    <row r="15" spans="19:54" s="34" customFormat="1" ht="48" customHeight="1" thickBot="1">
      <c r="S15" s="12">
        <v>13</v>
      </c>
      <c r="T15" s="245"/>
      <c r="U15" s="58"/>
      <c r="V15" s="59"/>
      <c r="W15" s="59"/>
      <c r="X15" s="60"/>
      <c r="Y15" s="60"/>
      <c r="Z15" s="61">
        <f t="shared" si="0"/>
        <v>0</v>
      </c>
      <c r="AA15" s="62"/>
      <c r="AB15" s="63"/>
      <c r="AC15" s="64"/>
      <c r="AD15" s="102"/>
      <c r="AE15" s="65"/>
      <c r="AF15" s="66"/>
      <c r="AG15" s="67"/>
      <c r="AH15" s="67"/>
      <c r="AI15" s="67"/>
      <c r="AJ15" s="66"/>
      <c r="AK15" s="68"/>
      <c r="AL15" s="69"/>
      <c r="AM15" s="69"/>
      <c r="AN15" s="69"/>
      <c r="AO15" s="69"/>
      <c r="AP15" s="69"/>
      <c r="AQ15" s="69"/>
      <c r="AR15" s="70"/>
      <c r="AS15" s="71"/>
      <c r="AT15" s="35"/>
      <c r="AU15" s="35"/>
      <c r="AV15" s="35"/>
      <c r="AW15" s="48"/>
      <c r="AX15" s="49">
        <f t="shared" si="1"/>
        <v>0</v>
      </c>
      <c r="AY15" s="50">
        <v>0</v>
      </c>
      <c r="AZ15" s="51">
        <v>0</v>
      </c>
      <c r="BA15" s="52">
        <v>0</v>
      </c>
      <c r="BB15" s="57">
        <f t="shared" si="2"/>
        <v>0</v>
      </c>
    </row>
    <row r="16" spans="19:54" s="72" customFormat="1" ht="50.1" customHeight="1">
      <c r="S16" s="254" t="s">
        <v>42</v>
      </c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5" t="s">
        <v>53</v>
      </c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6" t="s">
        <v>43</v>
      </c>
      <c r="AU16" s="257"/>
      <c r="AV16" s="257"/>
      <c r="AW16" s="257"/>
      <c r="AX16" s="257"/>
      <c r="AY16" s="257"/>
      <c r="AZ16" s="257"/>
      <c r="BA16" s="257"/>
      <c r="BB16" s="258"/>
    </row>
    <row r="17" spans="18:62" s="72" customFormat="1" ht="60" customHeight="1">
      <c r="S17" s="73" t="s">
        <v>15</v>
      </c>
      <c r="T17" s="300" t="s">
        <v>44</v>
      </c>
      <c r="U17" s="301"/>
      <c r="V17" s="302" t="s">
        <v>45</v>
      </c>
      <c r="W17" s="303"/>
      <c r="X17" s="74" t="s">
        <v>46</v>
      </c>
      <c r="Y17" s="75" t="s">
        <v>67</v>
      </c>
      <c r="Z17" s="304" t="s">
        <v>47</v>
      </c>
      <c r="AA17" s="304"/>
      <c r="AB17" s="304"/>
      <c r="AC17" s="304"/>
      <c r="AD17" s="304"/>
      <c r="AE17" s="304"/>
      <c r="AF17" s="304"/>
      <c r="AG17" s="305" t="s">
        <v>48</v>
      </c>
      <c r="AH17" s="306"/>
      <c r="AI17" s="307" t="s">
        <v>49</v>
      </c>
      <c r="AJ17" s="307"/>
      <c r="AK17" s="92"/>
      <c r="AL17" s="308" t="s">
        <v>68</v>
      </c>
      <c r="AM17" s="309"/>
      <c r="AN17" s="310"/>
      <c r="AO17" s="288" t="s">
        <v>50</v>
      </c>
      <c r="AP17" s="289"/>
      <c r="AQ17" s="289"/>
      <c r="AR17" s="289"/>
      <c r="AS17" s="289"/>
      <c r="AT17" s="76" t="s">
        <v>51</v>
      </c>
      <c r="AU17" s="290" t="s">
        <v>33</v>
      </c>
      <c r="AV17" s="291"/>
      <c r="AW17" s="77" t="s">
        <v>34</v>
      </c>
      <c r="AX17" s="77" t="s">
        <v>66</v>
      </c>
      <c r="AY17" s="77" t="s">
        <v>35</v>
      </c>
      <c r="AZ17" s="77" t="s">
        <v>36</v>
      </c>
      <c r="BA17" s="292" t="s">
        <v>52</v>
      </c>
      <c r="BB17" s="293"/>
    </row>
    <row r="18" spans="18:62" ht="60.75" customHeight="1">
      <c r="S18" s="78">
        <v>1</v>
      </c>
      <c r="T18" s="294"/>
      <c r="U18" s="295"/>
      <c r="V18" s="280"/>
      <c r="W18" s="281"/>
      <c r="X18" s="79" t="str">
        <f>TEXT(MOD(V18-T18,1),"h:mm")</f>
        <v>0:00</v>
      </c>
      <c r="Y18" s="80"/>
      <c r="Z18" s="282"/>
      <c r="AA18" s="282"/>
      <c r="AB18" s="282"/>
      <c r="AC18" s="282"/>
      <c r="AD18" s="282"/>
      <c r="AE18" s="282"/>
      <c r="AF18" s="282"/>
      <c r="AG18" s="296">
        <f>SUM(AX7:AX9)</f>
        <v>0</v>
      </c>
      <c r="AH18" s="297"/>
      <c r="AI18" s="298">
        <f>SUM(AX10:AX12)</f>
        <v>0</v>
      </c>
      <c r="AJ18" s="298"/>
      <c r="AK18" s="93"/>
      <c r="AL18" s="298">
        <f>SUM(AX13:AX15)</f>
        <v>0</v>
      </c>
      <c r="AM18" s="298"/>
      <c r="AN18" s="298"/>
      <c r="AO18" s="299">
        <f>SUM(AG18:AN18)</f>
        <v>0</v>
      </c>
      <c r="AP18" s="299"/>
      <c r="AQ18" s="299"/>
      <c r="AR18" s="299"/>
      <c r="AS18" s="299"/>
      <c r="AT18" s="81" t="s">
        <v>1</v>
      </c>
      <c r="AU18" s="276">
        <f>SUM(AS7:AS9)</f>
        <v>0</v>
      </c>
      <c r="AV18" s="277"/>
      <c r="AW18" s="82">
        <f>SUM(AT7:AT9)</f>
        <v>0</v>
      </c>
      <c r="AX18" s="82">
        <f>SUM(AV7:AV9)</f>
        <v>0</v>
      </c>
      <c r="AY18" s="82">
        <f>SUM(AU7:AU9)</f>
        <v>0</v>
      </c>
      <c r="AZ18" s="82">
        <f>SUM(AW7:AW9)</f>
        <v>0</v>
      </c>
      <c r="BA18" s="276">
        <f>SUM(AU18:AZ18)</f>
        <v>0</v>
      </c>
      <c r="BB18" s="277"/>
    </row>
    <row r="19" spans="18:62" ht="60.75" customHeight="1">
      <c r="S19" s="78">
        <v>2</v>
      </c>
      <c r="T19" s="278"/>
      <c r="U19" s="279"/>
      <c r="V19" s="280"/>
      <c r="W19" s="281"/>
      <c r="X19" s="79" t="str">
        <f>TEXT(MOD(V19-T19,1),"h:mm")</f>
        <v>0:00</v>
      </c>
      <c r="Y19" s="80"/>
      <c r="Z19" s="282"/>
      <c r="AA19" s="282"/>
      <c r="AB19" s="282"/>
      <c r="AC19" s="282"/>
      <c r="AD19" s="282"/>
      <c r="AE19" s="282"/>
      <c r="AF19" s="282"/>
      <c r="AG19" s="283" t="s">
        <v>41</v>
      </c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5"/>
      <c r="AT19" s="83" t="s">
        <v>5</v>
      </c>
      <c r="AU19" s="286">
        <f>SUM(AS10:AS12)</f>
        <v>0</v>
      </c>
      <c r="AV19" s="287"/>
      <c r="AW19" s="84">
        <f>SUM(AT10:AT12)</f>
        <v>0</v>
      </c>
      <c r="AX19" s="84">
        <f>SUM(AV10:AV12)</f>
        <v>0</v>
      </c>
      <c r="AY19" s="84">
        <f>SUM(AU10:AU12)</f>
        <v>0</v>
      </c>
      <c r="AZ19" s="84">
        <f>SUM(AW10:AW12)</f>
        <v>0</v>
      </c>
      <c r="BA19" s="286">
        <f>SUM(AU19:AZ19)</f>
        <v>0</v>
      </c>
      <c r="BB19" s="287"/>
    </row>
    <row r="20" spans="18:62" ht="60.75" customHeight="1">
      <c r="S20" s="78">
        <v>3</v>
      </c>
      <c r="T20" s="278"/>
      <c r="U20" s="279"/>
      <c r="V20" s="280"/>
      <c r="W20" s="281"/>
      <c r="X20" s="79" t="str">
        <f>TEXT(MOD(V20-T20,1),"h:mm")</f>
        <v>0:00</v>
      </c>
      <c r="Y20" s="80"/>
      <c r="Z20" s="327"/>
      <c r="AA20" s="327"/>
      <c r="AB20" s="327"/>
      <c r="AC20" s="327"/>
      <c r="AD20" s="327"/>
      <c r="AE20" s="327"/>
      <c r="AF20" s="327"/>
      <c r="AG20" s="311">
        <f>SUM(BB7:BB9)</f>
        <v>0</v>
      </c>
      <c r="AH20" s="328"/>
      <c r="AI20" s="311">
        <f>SUM(BB10:BB12)</f>
        <v>0</v>
      </c>
      <c r="AJ20" s="328"/>
      <c r="AK20" s="94"/>
      <c r="AL20" s="311">
        <f>SUM(BB13:BB15)</f>
        <v>0</v>
      </c>
      <c r="AM20" s="329"/>
      <c r="AN20" s="328"/>
      <c r="AO20" s="311">
        <f>SUM(AG20:AN20)</f>
        <v>0</v>
      </c>
      <c r="AP20" s="312"/>
      <c r="AQ20" s="312"/>
      <c r="AR20" s="312"/>
      <c r="AS20" s="313"/>
      <c r="AT20" s="91" t="s">
        <v>65</v>
      </c>
      <c r="AU20" s="314">
        <f>SUM(AS13:AS15)</f>
        <v>0</v>
      </c>
      <c r="AV20" s="315"/>
      <c r="AW20" s="99">
        <f>SUM(AT13:AT15)</f>
        <v>0</v>
      </c>
      <c r="AX20" s="99">
        <f>SUM(AV13:AV15)</f>
        <v>0</v>
      </c>
      <c r="AY20" s="99">
        <f>SUM(AU13:AU15)</f>
        <v>0</v>
      </c>
      <c r="AZ20" s="99">
        <f>SUM(AW13:AW15)</f>
        <v>0</v>
      </c>
      <c r="BA20" s="316">
        <f>SUM(AU20:AZ20)</f>
        <v>0</v>
      </c>
      <c r="BB20" s="317"/>
    </row>
    <row r="21" spans="18:62" ht="60.75" customHeight="1">
      <c r="S21" s="78">
        <v>4</v>
      </c>
      <c r="T21" s="278"/>
      <c r="U21" s="279"/>
      <c r="V21" s="280"/>
      <c r="W21" s="281"/>
      <c r="X21" s="79" t="str">
        <f>TEXT(MOD(V21-T21,1),"h:mm")</f>
        <v>0:00</v>
      </c>
      <c r="Y21" s="80"/>
      <c r="Z21" s="318"/>
      <c r="AA21" s="318"/>
      <c r="AB21" s="318"/>
      <c r="AC21" s="318"/>
      <c r="AD21" s="318"/>
      <c r="AE21" s="318"/>
      <c r="AF21" s="318"/>
      <c r="AG21" s="319" t="s">
        <v>54</v>
      </c>
      <c r="AH21" s="320"/>
      <c r="AI21" s="320"/>
      <c r="AJ21" s="320"/>
      <c r="AK21" s="320"/>
      <c r="AL21" s="320"/>
      <c r="AM21" s="320"/>
      <c r="AN21" s="320"/>
      <c r="AO21" s="320"/>
      <c r="AP21" s="320"/>
      <c r="AQ21" s="320"/>
      <c r="AR21" s="320"/>
      <c r="AS21" s="321"/>
      <c r="AT21" s="322" t="s">
        <v>55</v>
      </c>
      <c r="AU21" s="323"/>
      <c r="AV21" s="324"/>
      <c r="AW21" s="325">
        <v>1680</v>
      </c>
      <c r="AX21" s="326"/>
      <c r="AY21" s="322" t="s">
        <v>56</v>
      </c>
      <c r="AZ21" s="324"/>
      <c r="BA21" s="330">
        <v>1628</v>
      </c>
      <c r="BB21" s="331"/>
    </row>
    <row r="22" spans="18:62" ht="54" customHeight="1">
      <c r="S22" s="78">
        <v>5</v>
      </c>
      <c r="T22" s="278"/>
      <c r="U22" s="279"/>
      <c r="V22" s="280"/>
      <c r="W22" s="281"/>
      <c r="X22" s="79" t="str">
        <f>TEXT(MOD(V22-T22,1),"h:mm")</f>
        <v>0:00</v>
      </c>
      <c r="Y22" s="80"/>
      <c r="Z22" s="318"/>
      <c r="AA22" s="318"/>
      <c r="AB22" s="318"/>
      <c r="AC22" s="318"/>
      <c r="AD22" s="318"/>
      <c r="AE22" s="318"/>
      <c r="AF22" s="318"/>
      <c r="AG22" s="357">
        <f>SUM(AY7:BA9)</f>
        <v>0</v>
      </c>
      <c r="AH22" s="357"/>
      <c r="AI22" s="298">
        <f>SUM(AY10:BA12)</f>
        <v>0</v>
      </c>
      <c r="AJ22" s="298"/>
      <c r="AK22" s="95"/>
      <c r="AL22" s="358">
        <f>SUM(AY13:BA15)</f>
        <v>0</v>
      </c>
      <c r="AM22" s="358"/>
      <c r="AN22" s="359"/>
      <c r="AO22" s="360">
        <f>SUM(AG22:AN22)</f>
        <v>0</v>
      </c>
      <c r="AP22" s="361"/>
      <c r="AQ22" s="361"/>
      <c r="AR22" s="361"/>
      <c r="AS22" s="362"/>
      <c r="AT22" s="98" t="s">
        <v>69</v>
      </c>
      <c r="AU22" s="363" t="s">
        <v>48</v>
      </c>
      <c r="AV22" s="364"/>
      <c r="AW22" s="365" t="s">
        <v>49</v>
      </c>
      <c r="AX22" s="366"/>
      <c r="AY22" s="332" t="s">
        <v>68</v>
      </c>
      <c r="AZ22" s="333"/>
      <c r="BA22" s="334" t="s">
        <v>57</v>
      </c>
      <c r="BB22" s="335"/>
    </row>
    <row r="23" spans="18:62" ht="59.25" customHeight="1">
      <c r="S23" s="336" t="s">
        <v>61</v>
      </c>
      <c r="T23" s="337"/>
      <c r="U23" s="337"/>
      <c r="V23" s="337"/>
      <c r="W23" s="338"/>
      <c r="X23" s="85">
        <f>SUM(X18+X19+X20+X21+X22)</f>
        <v>0</v>
      </c>
      <c r="Y23" s="118" t="s">
        <v>62</v>
      </c>
      <c r="Z23" s="86"/>
      <c r="AA23" s="87"/>
      <c r="AB23" s="87"/>
      <c r="AC23" s="339" t="s">
        <v>63</v>
      </c>
      <c r="AD23" s="339"/>
      <c r="AE23" s="340"/>
      <c r="AF23" s="341"/>
      <c r="AG23" s="342" t="s">
        <v>22</v>
      </c>
      <c r="AH23" s="343"/>
      <c r="AI23" s="344"/>
      <c r="AJ23" s="345" t="s">
        <v>48</v>
      </c>
      <c r="AK23" s="346"/>
      <c r="AL23" s="346"/>
      <c r="AM23" s="347"/>
      <c r="AN23" s="348" t="s">
        <v>49</v>
      </c>
      <c r="AO23" s="348"/>
      <c r="AP23" s="348"/>
      <c r="AQ23" s="349" t="s">
        <v>68</v>
      </c>
      <c r="AR23" s="350"/>
      <c r="AS23" s="351"/>
      <c r="AT23" s="96" t="s">
        <v>60</v>
      </c>
      <c r="AU23" s="352">
        <f>SUM(AQ7:AQ9)</f>
        <v>0</v>
      </c>
      <c r="AV23" s="353"/>
      <c r="AW23" s="352">
        <f>SUM(AQ10:AQ12)</f>
        <v>0</v>
      </c>
      <c r="AX23" s="354"/>
      <c r="AY23" s="352">
        <f>SUM(AQ13:AQ15)</f>
        <v>0</v>
      </c>
      <c r="AZ23" s="353"/>
      <c r="BA23" s="355">
        <f>SUM(AU23:AZ23)</f>
        <v>0</v>
      </c>
      <c r="BB23" s="356"/>
    </row>
    <row r="24" spans="18:62" ht="57" customHeight="1">
      <c r="S24" s="367"/>
      <c r="T24" s="368"/>
      <c r="U24" s="368"/>
      <c r="V24" s="368"/>
      <c r="W24" s="369"/>
      <c r="X24" s="373" t="s">
        <v>73</v>
      </c>
      <c r="Y24" s="104" t="s">
        <v>70</v>
      </c>
      <c r="Z24" s="105" t="s">
        <v>71</v>
      </c>
      <c r="AA24" s="103"/>
      <c r="AB24" s="103"/>
      <c r="AC24" s="375" t="s">
        <v>72</v>
      </c>
      <c r="AD24" s="376"/>
      <c r="AE24" s="377" t="s">
        <v>57</v>
      </c>
      <c r="AF24" s="378"/>
      <c r="AG24" s="379" t="s">
        <v>58</v>
      </c>
      <c r="AH24" s="380"/>
      <c r="AI24" s="381"/>
      <c r="AJ24" s="382">
        <f>AVERAGE(Z7:Z9)</f>
        <v>0</v>
      </c>
      <c r="AK24" s="383"/>
      <c r="AL24" s="383"/>
      <c r="AM24" s="383"/>
      <c r="AN24" s="382">
        <f>AVERAGE(Z10:Z12)</f>
        <v>0</v>
      </c>
      <c r="AO24" s="383"/>
      <c r="AP24" s="383"/>
      <c r="AQ24" s="382">
        <f>AVERAGE(Z13:Z14)</f>
        <v>0</v>
      </c>
      <c r="AR24" s="383"/>
      <c r="AS24" s="383"/>
      <c r="AT24" s="97" t="s">
        <v>64</v>
      </c>
      <c r="AU24" s="387">
        <f>SUM(AL7:AP9)</f>
        <v>0</v>
      </c>
      <c r="AV24" s="388"/>
      <c r="AW24" s="387">
        <f>SUM(AL10:AP12)</f>
        <v>0</v>
      </c>
      <c r="AX24" s="388"/>
      <c r="AY24" s="387">
        <f>SUM(AL13:AP15)</f>
        <v>0</v>
      </c>
      <c r="AZ24" s="388"/>
      <c r="BA24" s="389">
        <f>SUM(AU24:AZ24)</f>
        <v>0</v>
      </c>
      <c r="BB24" s="390"/>
    </row>
    <row r="25" spans="18:62" ht="52.5" customHeight="1">
      <c r="S25" s="370"/>
      <c r="T25" s="371"/>
      <c r="U25" s="371"/>
      <c r="V25" s="371"/>
      <c r="W25" s="372"/>
      <c r="X25" s="374"/>
      <c r="Y25" s="106">
        <f>SUM(AD7:AD8)</f>
        <v>0</v>
      </c>
      <c r="Z25" s="106">
        <f>SUM(AD10:AD12)</f>
        <v>0</v>
      </c>
      <c r="AA25" s="107"/>
      <c r="AB25" s="107"/>
      <c r="AC25" s="391">
        <f>SUM(AD13:AD14)</f>
        <v>0</v>
      </c>
      <c r="AD25" s="392"/>
      <c r="AE25" s="393">
        <f>SUM(Y25:AD25)</f>
        <v>0</v>
      </c>
      <c r="AF25" s="394"/>
      <c r="AG25" s="379" t="s">
        <v>59</v>
      </c>
      <c r="AH25" s="380"/>
      <c r="AI25" s="381"/>
      <c r="AJ25" s="382">
        <f>SUM(Z7:Z9)</f>
        <v>0</v>
      </c>
      <c r="AK25" s="383"/>
      <c r="AL25" s="383"/>
      <c r="AM25" s="383"/>
      <c r="AN25" s="382">
        <f>SUM(Z10:Z12)</f>
        <v>0</v>
      </c>
      <c r="AO25" s="383"/>
      <c r="AP25" s="383"/>
      <c r="AQ25" s="382">
        <f>SUM(Z13:Z15)</f>
        <v>0</v>
      </c>
      <c r="AR25" s="383"/>
      <c r="AS25" s="383"/>
      <c r="AT25" s="384"/>
      <c r="AU25" s="385"/>
      <c r="AV25" s="385"/>
      <c r="AW25" s="385"/>
      <c r="AX25" s="385"/>
      <c r="AY25" s="385"/>
      <c r="AZ25" s="385"/>
      <c r="BA25" s="385"/>
      <c r="BB25" s="386"/>
    </row>
    <row r="26" spans="18:62" ht="60.75" customHeight="1"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8:62" ht="30" customHeight="1"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8:62" ht="30" customHeight="1"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T28" s="4"/>
      <c r="AU28" s="4"/>
      <c r="AV28" s="4"/>
      <c r="AW28" s="4"/>
      <c r="AX28" s="4"/>
      <c r="AY28" s="4"/>
      <c r="AZ28" s="4"/>
      <c r="BA28" s="4"/>
    </row>
    <row r="29" spans="18:62" ht="30" customHeight="1"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T29" s="4"/>
      <c r="AU29" s="4"/>
      <c r="AV29" s="4"/>
      <c r="AW29" s="4"/>
      <c r="AX29" s="4"/>
      <c r="AY29" s="4"/>
      <c r="AZ29" s="4"/>
      <c r="BA29" s="4"/>
    </row>
    <row r="30" spans="18:62" ht="30" customHeight="1">
      <c r="R30" s="3"/>
      <c r="S30" s="3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T30" s="4"/>
      <c r="AU30" s="4"/>
      <c r="AV30" s="4"/>
      <c r="AW30" s="4"/>
      <c r="AX30" s="4"/>
      <c r="AY30" s="4"/>
      <c r="AZ30" s="4"/>
      <c r="BA30" s="4"/>
    </row>
    <row r="31" spans="18:62" ht="30" customHeight="1">
      <c r="R31" s="3"/>
      <c r="S31" s="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T31" s="4"/>
      <c r="AU31" s="4"/>
      <c r="AV31" s="4"/>
      <c r="AW31" s="4"/>
      <c r="AX31" s="4"/>
      <c r="AY31" s="4"/>
      <c r="AZ31" s="4"/>
      <c r="BA31" s="4"/>
    </row>
    <row r="32" spans="18:62" ht="15" customHeight="1">
      <c r="S32" s="3"/>
      <c r="BJ32" s="4">
        <v>8</v>
      </c>
    </row>
  </sheetData>
  <mergeCells count="145">
    <mergeCell ref="S24:W25"/>
    <mergeCell ref="X24:X25"/>
    <mergeCell ref="AC24:AD24"/>
    <mergeCell ref="AE24:AF24"/>
    <mergeCell ref="AG24:AI24"/>
    <mergeCell ref="AJ24:AM24"/>
    <mergeCell ref="AN24:AP24"/>
    <mergeCell ref="AQ25:AS25"/>
    <mergeCell ref="AT25:BB25"/>
    <mergeCell ref="AQ24:AS24"/>
    <mergeCell ref="AU24:AV24"/>
    <mergeCell ref="AW24:AX24"/>
    <mergeCell ref="AY24:AZ24"/>
    <mergeCell ref="BA24:BB24"/>
    <mergeCell ref="AC25:AD25"/>
    <mergeCell ref="AE25:AF25"/>
    <mergeCell ref="AG25:AI25"/>
    <mergeCell ref="AJ25:AM25"/>
    <mergeCell ref="AN25:AP25"/>
    <mergeCell ref="AY22:AZ22"/>
    <mergeCell ref="BA22:BB22"/>
    <mergeCell ref="S23:W23"/>
    <mergeCell ref="AC23:AD23"/>
    <mergeCell ref="AE23:AF23"/>
    <mergeCell ref="AG23:AI23"/>
    <mergeCell ref="AJ23:AM23"/>
    <mergeCell ref="AN23:AP23"/>
    <mergeCell ref="AQ23:AS23"/>
    <mergeCell ref="AU23:AV23"/>
    <mergeCell ref="AW23:AX23"/>
    <mergeCell ref="AY23:AZ23"/>
    <mergeCell ref="BA23:BB23"/>
    <mergeCell ref="T22:U22"/>
    <mergeCell ref="V22:W22"/>
    <mergeCell ref="Z22:AF22"/>
    <mergeCell ref="AG22:AH22"/>
    <mergeCell ref="AI22:AJ22"/>
    <mergeCell ref="AL22:AN22"/>
    <mergeCell ref="AO22:AS22"/>
    <mergeCell ref="AU22:AV22"/>
    <mergeCell ref="AW22:AX22"/>
    <mergeCell ref="AO20:AS20"/>
    <mergeCell ref="AU20:AV20"/>
    <mergeCell ref="BA20:BB20"/>
    <mergeCell ref="T21:U21"/>
    <mergeCell ref="V21:W21"/>
    <mergeCell ref="Z21:AF21"/>
    <mergeCell ref="AG21:AS21"/>
    <mergeCell ref="AT21:AV21"/>
    <mergeCell ref="AW21:AX21"/>
    <mergeCell ref="AY21:AZ21"/>
    <mergeCell ref="T20:U20"/>
    <mergeCell ref="V20:W20"/>
    <mergeCell ref="Z20:AF20"/>
    <mergeCell ref="AG20:AH20"/>
    <mergeCell ref="AI20:AJ20"/>
    <mergeCell ref="AL20:AN20"/>
    <mergeCell ref="BA21:BB21"/>
    <mergeCell ref="AU18:AV18"/>
    <mergeCell ref="BA18:BB18"/>
    <mergeCell ref="T19:U19"/>
    <mergeCell ref="V19:W19"/>
    <mergeCell ref="Z19:AF19"/>
    <mergeCell ref="AG19:AS19"/>
    <mergeCell ref="AU19:AV19"/>
    <mergeCell ref="BA19:BB19"/>
    <mergeCell ref="AO17:AS17"/>
    <mergeCell ref="AU17:AV17"/>
    <mergeCell ref="BA17:BB17"/>
    <mergeCell ref="T18:U18"/>
    <mergeCell ref="V18:W18"/>
    <mergeCell ref="Z18:AF18"/>
    <mergeCell ref="AG18:AH18"/>
    <mergeCell ref="AI18:AJ18"/>
    <mergeCell ref="AL18:AN18"/>
    <mergeCell ref="AO18:AS18"/>
    <mergeCell ref="T17:U17"/>
    <mergeCell ref="V17:W17"/>
    <mergeCell ref="Z17:AF17"/>
    <mergeCell ref="AG17:AH17"/>
    <mergeCell ref="AI17:AJ17"/>
    <mergeCell ref="AL17:AN17"/>
    <mergeCell ref="S16:AF16"/>
    <mergeCell ref="AG16:AS16"/>
    <mergeCell ref="AT16:BB16"/>
    <mergeCell ref="AU5:AU6"/>
    <mergeCell ref="AV5:AV6"/>
    <mergeCell ref="AW5:AW6"/>
    <mergeCell ref="AX5:AX6"/>
    <mergeCell ref="AY5:AY6"/>
    <mergeCell ref="AZ5:AZ6"/>
    <mergeCell ref="AH5:AH6"/>
    <mergeCell ref="AI5:AI6"/>
    <mergeCell ref="AJ5:AJ6"/>
    <mergeCell ref="AK5:AR5"/>
    <mergeCell ref="AS5:AS6"/>
    <mergeCell ref="AT5:AT6"/>
    <mergeCell ref="AB5:AB6"/>
    <mergeCell ref="AC5:AC6"/>
    <mergeCell ref="AD5:AD6"/>
    <mergeCell ref="AE5:AE6"/>
    <mergeCell ref="S4:Z4"/>
    <mergeCell ref="AA4:AB4"/>
    <mergeCell ref="AC4:AD4"/>
    <mergeCell ref="AE4:AJ4"/>
    <mergeCell ref="AL4:AQ4"/>
    <mergeCell ref="AS4:AW4"/>
    <mergeCell ref="T7:T9"/>
    <mergeCell ref="T10:T12"/>
    <mergeCell ref="T13:T15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Q1:AT1"/>
    <mergeCell ref="AU1:AW1"/>
    <mergeCell ref="AF5:AF6"/>
    <mergeCell ref="AG5:AG6"/>
    <mergeCell ref="AX1:BB3"/>
    <mergeCell ref="AC2:AE2"/>
    <mergeCell ref="AF2:AH2"/>
    <mergeCell ref="AI2:AL2"/>
    <mergeCell ref="AM2:AP2"/>
    <mergeCell ref="AQ2:AT2"/>
    <mergeCell ref="AU2:AW2"/>
    <mergeCell ref="AC3:AE3"/>
    <mergeCell ref="AQ3:AT3"/>
    <mergeCell ref="AU3:AW3"/>
    <mergeCell ref="AX4:BB4"/>
    <mergeCell ref="BA5:BA6"/>
    <mergeCell ref="BB5:BB6"/>
    <mergeCell ref="S1:W3"/>
    <mergeCell ref="X1:Y3"/>
    <mergeCell ref="AC1:AE1"/>
    <mergeCell ref="AF1:AH1"/>
    <mergeCell ref="AI1:AL1"/>
    <mergeCell ref="AM1:AP1"/>
    <mergeCell ref="AF3:AH3"/>
    <mergeCell ref="AI3:AL3"/>
    <mergeCell ref="AM3:AP3"/>
  </mergeCells>
  <conditionalFormatting sqref="Z7:Z15">
    <cfRule type="cellIs" dxfId="103" priority="3" operator="greaterThan">
      <formula>0.167361111111111</formula>
    </cfRule>
    <cfRule type="cellIs" dxfId="102" priority="4" operator="greaterThan">
      <formula>0.15625</formula>
    </cfRule>
  </conditionalFormatting>
  <conditionalFormatting sqref="AA7:AJ15">
    <cfRule type="cellIs" dxfId="101" priority="11" operator="between">
      <formula>1700</formula>
      <formula>1710</formula>
    </cfRule>
    <cfRule type="cellIs" dxfId="100" priority="12" operator="between">
      <formula>1691</formula>
      <formula>1700</formula>
    </cfRule>
  </conditionalFormatting>
  <conditionalFormatting sqref="AS7:AS15">
    <cfRule type="expression" dxfId="99" priority="13">
      <formula>IF(($AS7/$AX7)*1000&gt;$AY$1,1,0)</formula>
    </cfRule>
  </conditionalFormatting>
  <conditionalFormatting sqref="AT7:AW15">
    <cfRule type="cellIs" dxfId="98" priority="5" operator="greaterThan">
      <formula>10</formula>
    </cfRule>
  </conditionalFormatting>
  <conditionalFormatting sqref="AX7:AX15">
    <cfRule type="cellIs" dxfId="97" priority="2" operator="between">
      <formula>16000</formula>
      <formula>17200</formula>
    </cfRule>
    <cfRule type="cellIs" dxfId="96" priority="6" operator="lessThan">
      <formula>15800</formula>
    </cfRule>
    <cfRule type="cellIs" dxfId="95" priority="7" operator="greaterThan">
      <formula>18000</formula>
    </cfRule>
  </conditionalFormatting>
  <conditionalFormatting sqref="AZ7:BA15">
    <cfRule type="cellIs" dxfId="94" priority="10" operator="greaterThan">
      <formula>0</formula>
    </cfRule>
  </conditionalFormatting>
  <conditionalFormatting sqref="BB7:BB15">
    <cfRule type="cellIs" dxfId="93" priority="1" operator="between">
      <formula>16000</formula>
      <formula>17200</formula>
    </cfRule>
    <cfRule type="cellIs" dxfId="92" priority="8" operator="greaterThan">
      <formula>18000</formula>
    </cfRule>
    <cfRule type="cellIs" dxfId="91" priority="9" operator="lessThan">
      <formula>15800</formula>
    </cfRule>
  </conditionalFormatting>
  <printOptions horizontalCentered="1" verticalCentered="1"/>
  <pageMargins left="0" right="0" top="0" bottom="0.21" header="0" footer="0"/>
  <pageSetup paperSize="9" scale="42" orientation="landscape" cellComments="asDisplayed" r:id="rId1"/>
  <headerFooter differentFirst="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D334D-378C-4384-94DA-7AD33DCEA9F4}">
  <sheetPr>
    <tabColor theme="5"/>
    <pageSetUpPr fitToPage="1"/>
  </sheetPr>
  <dimension ref="R1:BJ32"/>
  <sheetViews>
    <sheetView showGridLines="0" rightToLeft="1" topLeftCell="R1" zoomScale="55" zoomScaleNormal="55" zoomScalePageLayoutView="40" workbookViewId="0">
      <selection activeCell="AX4" sqref="AX4:BB4"/>
    </sheetView>
  </sheetViews>
  <sheetFormatPr defaultColWidth="9.140625" defaultRowHeight="15"/>
  <cols>
    <col min="1" max="18" width="9.140625" style="4"/>
    <col min="19" max="19" width="5.7109375" style="4" customWidth="1"/>
    <col min="20" max="20" width="9.5703125" style="3" customWidth="1"/>
    <col min="21" max="21" width="10.7109375" style="3" customWidth="1"/>
    <col min="22" max="22" width="9.42578125" style="88" customWidth="1"/>
    <col min="23" max="23" width="8.85546875" style="88" customWidth="1"/>
    <col min="24" max="24" width="14.42578125" style="3" customWidth="1"/>
    <col min="25" max="25" width="14.7109375" style="3" customWidth="1"/>
    <col min="26" max="26" width="15.140625" style="88" customWidth="1"/>
    <col min="27" max="27" width="9.5703125" style="3" hidden="1" customWidth="1"/>
    <col min="28" max="28" width="10" style="3" hidden="1" customWidth="1"/>
    <col min="29" max="29" width="8.140625" style="3" customWidth="1"/>
    <col min="30" max="30" width="8.5703125" style="3" customWidth="1"/>
    <col min="31" max="31" width="12.42578125" style="3" customWidth="1"/>
    <col min="32" max="32" width="10.5703125" style="3" customWidth="1"/>
    <col min="33" max="33" width="9.5703125" style="3" customWidth="1"/>
    <col min="34" max="34" width="11.42578125" style="3" customWidth="1"/>
    <col min="35" max="35" width="9.42578125" style="3" customWidth="1"/>
    <col min="36" max="36" width="9.28515625" style="3" customWidth="1"/>
    <col min="37" max="37" width="6.7109375" style="3" hidden="1" customWidth="1"/>
    <col min="38" max="42" width="6.7109375" style="3" customWidth="1"/>
    <col min="43" max="43" width="8.140625" style="3" customWidth="1"/>
    <col min="44" max="44" width="6.7109375" style="3" hidden="1" customWidth="1"/>
    <col min="45" max="45" width="10.42578125" style="3" customWidth="1"/>
    <col min="46" max="46" width="8.7109375" style="3" customWidth="1"/>
    <col min="47" max="47" width="8.5703125" style="3" customWidth="1"/>
    <col min="48" max="48" width="8.7109375" style="3" customWidth="1"/>
    <col min="49" max="49" width="9.5703125" style="3" customWidth="1"/>
    <col min="50" max="50" width="12.42578125" style="88" customWidth="1"/>
    <col min="51" max="51" width="11.85546875" style="3" customWidth="1"/>
    <col min="52" max="52" width="11.5703125" style="3" customWidth="1"/>
    <col min="53" max="53" width="13.42578125" style="3" customWidth="1"/>
    <col min="54" max="54" width="13.5703125" style="4" customWidth="1"/>
    <col min="55" max="57" width="9.140625" style="4"/>
    <col min="58" max="58" width="25" style="4" customWidth="1"/>
    <col min="59" max="61" width="9.140625" style="4"/>
    <col min="62" max="62" width="23.5703125" style="4" customWidth="1"/>
    <col min="63" max="16384" width="9.140625" style="4"/>
  </cols>
  <sheetData>
    <row r="1" spans="19:54" ht="36.75" customHeight="1" thickBot="1">
      <c r="S1" s="180"/>
      <c r="T1" s="181"/>
      <c r="U1" s="181"/>
      <c r="V1" s="181"/>
      <c r="W1" s="181"/>
      <c r="X1" s="182" t="s">
        <v>0</v>
      </c>
      <c r="Y1" s="183"/>
      <c r="Z1" s="1" t="s">
        <v>1</v>
      </c>
      <c r="AA1" s="2"/>
      <c r="AC1" s="188" t="s">
        <v>2</v>
      </c>
      <c r="AD1" s="189"/>
      <c r="AE1" s="189"/>
      <c r="AF1" s="190" t="s">
        <v>75</v>
      </c>
      <c r="AG1" s="191"/>
      <c r="AH1" s="192"/>
      <c r="AI1" s="193" t="s">
        <v>3</v>
      </c>
      <c r="AJ1" s="194"/>
      <c r="AK1" s="194"/>
      <c r="AL1" s="195"/>
      <c r="AM1" s="196" t="s">
        <v>76</v>
      </c>
      <c r="AN1" s="197"/>
      <c r="AO1" s="197"/>
      <c r="AP1" s="198"/>
      <c r="AQ1" s="203" t="s">
        <v>4</v>
      </c>
      <c r="AR1" s="204"/>
      <c r="AS1" s="204"/>
      <c r="AT1" s="205"/>
      <c r="AU1" s="206" t="s">
        <v>74</v>
      </c>
      <c r="AV1" s="207"/>
      <c r="AW1" s="208"/>
      <c r="AX1" s="211" t="s">
        <v>96</v>
      </c>
      <c r="AY1" s="211"/>
      <c r="AZ1" s="211"/>
      <c r="BA1" s="211"/>
      <c r="BB1" s="211"/>
    </row>
    <row r="2" spans="19:54" ht="36.75" customHeight="1" thickBot="1">
      <c r="S2" s="180"/>
      <c r="T2" s="181"/>
      <c r="U2" s="181"/>
      <c r="V2" s="181"/>
      <c r="W2" s="181"/>
      <c r="X2" s="184"/>
      <c r="Y2" s="185"/>
      <c r="Z2" s="5" t="s">
        <v>5</v>
      </c>
      <c r="AA2" s="89"/>
      <c r="AC2" s="188" t="s">
        <v>2</v>
      </c>
      <c r="AD2" s="189"/>
      <c r="AE2" s="212"/>
      <c r="AF2" s="190" t="s">
        <v>78</v>
      </c>
      <c r="AG2" s="191"/>
      <c r="AH2" s="192"/>
      <c r="AI2" s="193" t="s">
        <v>3</v>
      </c>
      <c r="AJ2" s="194"/>
      <c r="AK2" s="194"/>
      <c r="AL2" s="195"/>
      <c r="AM2" s="202" t="s">
        <v>79</v>
      </c>
      <c r="AN2" s="202"/>
      <c r="AO2" s="202"/>
      <c r="AP2" s="202"/>
      <c r="AQ2" s="203" t="s">
        <v>4</v>
      </c>
      <c r="AR2" s="204"/>
      <c r="AS2" s="204"/>
      <c r="AT2" s="205"/>
      <c r="AU2" s="213" t="s">
        <v>77</v>
      </c>
      <c r="AV2" s="213"/>
      <c r="AW2" s="213"/>
      <c r="AX2" s="211"/>
      <c r="AY2" s="211"/>
      <c r="AZ2" s="211"/>
      <c r="BA2" s="211"/>
      <c r="BB2" s="211"/>
    </row>
    <row r="3" spans="19:54" ht="38.25" customHeight="1" thickBot="1">
      <c r="S3" s="181"/>
      <c r="T3" s="181"/>
      <c r="U3" s="181"/>
      <c r="V3" s="181"/>
      <c r="W3" s="181"/>
      <c r="X3" s="186"/>
      <c r="Y3" s="187"/>
      <c r="Z3" s="90" t="s">
        <v>65</v>
      </c>
      <c r="AA3" s="6"/>
      <c r="AC3" s="188" t="s">
        <v>6</v>
      </c>
      <c r="AD3" s="189"/>
      <c r="AE3" s="212"/>
      <c r="AF3" s="190" t="s">
        <v>81</v>
      </c>
      <c r="AG3" s="191"/>
      <c r="AH3" s="192"/>
      <c r="AI3" s="199" t="s">
        <v>7</v>
      </c>
      <c r="AJ3" s="200"/>
      <c r="AK3" s="200"/>
      <c r="AL3" s="201"/>
      <c r="AM3" s="202" t="s">
        <v>82</v>
      </c>
      <c r="AN3" s="202"/>
      <c r="AO3" s="202"/>
      <c r="AP3" s="202"/>
      <c r="AQ3" s="203" t="s">
        <v>4</v>
      </c>
      <c r="AR3" s="204"/>
      <c r="AS3" s="204"/>
      <c r="AT3" s="214"/>
      <c r="AU3" s="215" t="s">
        <v>80</v>
      </c>
      <c r="AV3" s="216"/>
      <c r="AW3" s="217"/>
      <c r="AX3" s="211"/>
      <c r="AY3" s="211"/>
      <c r="AZ3" s="211"/>
      <c r="BA3" s="211"/>
      <c r="BB3" s="211"/>
    </row>
    <row r="4" spans="19:54" ht="34.5" customHeight="1" thickBot="1">
      <c r="S4" s="225" t="s">
        <v>8</v>
      </c>
      <c r="T4" s="226"/>
      <c r="U4" s="226"/>
      <c r="V4" s="226"/>
      <c r="W4" s="226"/>
      <c r="X4" s="227"/>
      <c r="Y4" s="227"/>
      <c r="Z4" s="228"/>
      <c r="AA4" s="229" t="s">
        <v>9</v>
      </c>
      <c r="AB4" s="230"/>
      <c r="AC4" s="231" t="s">
        <v>10</v>
      </c>
      <c r="AD4" s="232"/>
      <c r="AE4" s="233" t="s">
        <v>11</v>
      </c>
      <c r="AF4" s="234"/>
      <c r="AG4" s="234"/>
      <c r="AH4" s="234"/>
      <c r="AI4" s="234"/>
      <c r="AJ4" s="235"/>
      <c r="AK4" s="7"/>
      <c r="AL4" s="236" t="s">
        <v>12</v>
      </c>
      <c r="AM4" s="237"/>
      <c r="AN4" s="237"/>
      <c r="AO4" s="237"/>
      <c r="AP4" s="237"/>
      <c r="AQ4" s="237"/>
      <c r="AR4" s="8"/>
      <c r="AS4" s="238" t="s">
        <v>13</v>
      </c>
      <c r="AT4" s="239"/>
      <c r="AU4" s="239"/>
      <c r="AV4" s="239"/>
      <c r="AW4" s="240"/>
      <c r="AX4" s="218" t="s">
        <v>14</v>
      </c>
      <c r="AY4" s="219"/>
      <c r="AZ4" s="219"/>
      <c r="BA4" s="219"/>
      <c r="BB4" s="220"/>
    </row>
    <row r="5" spans="19:54" ht="52.5" customHeight="1">
      <c r="S5" s="246" t="s">
        <v>15</v>
      </c>
      <c r="T5" s="248" t="s">
        <v>16</v>
      </c>
      <c r="U5" s="248" t="s">
        <v>17</v>
      </c>
      <c r="V5" s="248" t="s">
        <v>18</v>
      </c>
      <c r="W5" s="248" t="s">
        <v>19</v>
      </c>
      <c r="X5" s="248" t="s">
        <v>20</v>
      </c>
      <c r="Y5" s="248" t="s">
        <v>21</v>
      </c>
      <c r="Z5" s="250" t="s">
        <v>22</v>
      </c>
      <c r="AA5" s="252" t="s">
        <v>23</v>
      </c>
      <c r="AB5" s="270" t="s">
        <v>9</v>
      </c>
      <c r="AC5" s="272" t="s">
        <v>24</v>
      </c>
      <c r="AD5" s="272" t="s">
        <v>25</v>
      </c>
      <c r="AE5" s="274" t="s">
        <v>26</v>
      </c>
      <c r="AF5" s="209" t="s">
        <v>27</v>
      </c>
      <c r="AG5" s="209" t="s">
        <v>28</v>
      </c>
      <c r="AH5" s="263" t="s">
        <v>29</v>
      </c>
      <c r="AI5" s="263" t="s">
        <v>30</v>
      </c>
      <c r="AJ5" s="265" t="s">
        <v>31</v>
      </c>
      <c r="AK5" s="267" t="s">
        <v>32</v>
      </c>
      <c r="AL5" s="268"/>
      <c r="AM5" s="268"/>
      <c r="AN5" s="268"/>
      <c r="AO5" s="268"/>
      <c r="AP5" s="268"/>
      <c r="AQ5" s="268"/>
      <c r="AR5" s="269"/>
      <c r="AS5" s="259" t="s">
        <v>33</v>
      </c>
      <c r="AT5" s="259" t="s">
        <v>34</v>
      </c>
      <c r="AU5" s="259" t="s">
        <v>35</v>
      </c>
      <c r="AV5" s="259" t="s">
        <v>66</v>
      </c>
      <c r="AW5" s="261" t="s">
        <v>36</v>
      </c>
      <c r="AX5" s="252" t="s">
        <v>37</v>
      </c>
      <c r="AY5" s="221" t="s">
        <v>38</v>
      </c>
      <c r="AZ5" s="221" t="s">
        <v>39</v>
      </c>
      <c r="BA5" s="221" t="s">
        <v>40</v>
      </c>
      <c r="BB5" s="223" t="s">
        <v>41</v>
      </c>
    </row>
    <row r="6" spans="19:54" ht="27.95" customHeight="1" thickBot="1">
      <c r="S6" s="247"/>
      <c r="T6" s="249"/>
      <c r="U6" s="249"/>
      <c r="V6" s="249"/>
      <c r="W6" s="249"/>
      <c r="X6" s="249"/>
      <c r="Y6" s="249"/>
      <c r="Z6" s="251"/>
      <c r="AA6" s="253"/>
      <c r="AB6" s="271"/>
      <c r="AC6" s="273"/>
      <c r="AD6" s="273"/>
      <c r="AE6" s="275"/>
      <c r="AF6" s="210"/>
      <c r="AG6" s="210"/>
      <c r="AH6" s="264"/>
      <c r="AI6" s="264"/>
      <c r="AJ6" s="266"/>
      <c r="AK6" s="9">
        <v>1</v>
      </c>
      <c r="AL6" s="10">
        <v>2</v>
      </c>
      <c r="AM6" s="10">
        <v>3</v>
      </c>
      <c r="AN6" s="10">
        <v>4</v>
      </c>
      <c r="AO6" s="10">
        <v>5</v>
      </c>
      <c r="AP6" s="10">
        <v>6</v>
      </c>
      <c r="AQ6" s="10">
        <v>12</v>
      </c>
      <c r="AR6" s="11"/>
      <c r="AS6" s="260"/>
      <c r="AT6" s="260"/>
      <c r="AU6" s="260"/>
      <c r="AV6" s="260"/>
      <c r="AW6" s="262"/>
      <c r="AX6" s="253"/>
      <c r="AY6" s="222"/>
      <c r="AZ6" s="222"/>
      <c r="BA6" s="222"/>
      <c r="BB6" s="224"/>
    </row>
    <row r="7" spans="19:54" s="34" customFormat="1" ht="48" customHeight="1" thickBot="1">
      <c r="S7" s="12">
        <v>1</v>
      </c>
      <c r="T7" s="241" t="s">
        <v>1</v>
      </c>
      <c r="U7" s="13"/>
      <c r="V7" s="14"/>
      <c r="W7" s="15"/>
      <c r="X7" s="16"/>
      <c r="Y7" s="17"/>
      <c r="Z7" s="18">
        <f t="shared" ref="Z7:Z15" si="0">IF(Y7&lt;X7,1+Y7-X7,Y7-X7)</f>
        <v>0</v>
      </c>
      <c r="AA7" s="19"/>
      <c r="AB7" s="20"/>
      <c r="AC7" s="21"/>
      <c r="AD7" s="100"/>
      <c r="AE7" s="22"/>
      <c r="AF7" s="23"/>
      <c r="AG7" s="23"/>
      <c r="AH7" s="23"/>
      <c r="AI7" s="23"/>
      <c r="AJ7" s="24"/>
      <c r="AK7" s="25"/>
      <c r="AL7" s="26"/>
      <c r="AM7" s="26"/>
      <c r="AN7" s="26"/>
      <c r="AO7" s="26"/>
      <c r="AP7" s="26"/>
      <c r="AQ7" s="26"/>
      <c r="AR7" s="27"/>
      <c r="AS7" s="28"/>
      <c r="AT7" s="13"/>
      <c r="AU7" s="13"/>
      <c r="AV7" s="13"/>
      <c r="AW7" s="29"/>
      <c r="AX7" s="30">
        <f t="shared" ref="AX7:AX15" si="1">SUM(AY7:BB7)</f>
        <v>0</v>
      </c>
      <c r="AY7" s="31">
        <v>0</v>
      </c>
      <c r="AZ7" s="32">
        <v>0</v>
      </c>
      <c r="BA7" s="31">
        <v>0</v>
      </c>
      <c r="BB7" s="33">
        <f t="shared" ref="BB7:BB15" si="2">SUM(($AQ$6*AQ7+$AP$6*AP7+$AN$6*AN7+$AM$6*$AM7+$AL$6*AL7+$AK$6*AK7+$AO$6*AO7+$AR$6*AR7)*175)</f>
        <v>0</v>
      </c>
    </row>
    <row r="8" spans="19:54" s="34" customFormat="1" ht="48" customHeight="1" thickBot="1">
      <c r="S8" s="12">
        <v>2</v>
      </c>
      <c r="T8" s="242"/>
      <c r="U8" s="35"/>
      <c r="V8" s="125"/>
      <c r="W8" s="125"/>
      <c r="X8" s="36"/>
      <c r="Y8" s="36"/>
      <c r="Z8" s="37">
        <f t="shared" si="0"/>
        <v>0</v>
      </c>
      <c r="AA8" s="38"/>
      <c r="AB8" s="39"/>
      <c r="AC8" s="40"/>
      <c r="AD8" s="101"/>
      <c r="AE8" s="41"/>
      <c r="AF8" s="42"/>
      <c r="AG8" s="42"/>
      <c r="AH8" s="42"/>
      <c r="AI8" s="42"/>
      <c r="AJ8" s="43"/>
      <c r="AK8" s="44"/>
      <c r="AL8" s="45"/>
      <c r="AM8" s="45"/>
      <c r="AN8" s="45"/>
      <c r="AO8" s="45"/>
      <c r="AP8" s="45"/>
      <c r="AQ8" s="45"/>
      <c r="AR8" s="46"/>
      <c r="AS8" s="47"/>
      <c r="AT8" s="35"/>
      <c r="AU8" s="35"/>
      <c r="AV8" s="35"/>
      <c r="AW8" s="48"/>
      <c r="AX8" s="49">
        <f t="shared" si="1"/>
        <v>0</v>
      </c>
      <c r="AY8" s="50">
        <v>0</v>
      </c>
      <c r="AZ8" s="51">
        <v>0</v>
      </c>
      <c r="BA8" s="52">
        <v>0</v>
      </c>
      <c r="BB8" s="53">
        <f t="shared" si="2"/>
        <v>0</v>
      </c>
    </row>
    <row r="9" spans="19:54" s="34" customFormat="1" ht="48" customHeight="1" thickBot="1">
      <c r="S9" s="12">
        <v>3</v>
      </c>
      <c r="T9" s="242"/>
      <c r="U9" s="35"/>
      <c r="V9" s="125"/>
      <c r="W9" s="125"/>
      <c r="X9" s="36"/>
      <c r="Y9" s="36"/>
      <c r="Z9" s="37">
        <f t="shared" si="0"/>
        <v>0</v>
      </c>
      <c r="AA9" s="38"/>
      <c r="AB9" s="39"/>
      <c r="AC9" s="40"/>
      <c r="AD9" s="101"/>
      <c r="AE9" s="41"/>
      <c r="AF9" s="42"/>
      <c r="AG9" s="42"/>
      <c r="AH9" s="42"/>
      <c r="AI9" s="42"/>
      <c r="AJ9" s="43"/>
      <c r="AK9" s="44"/>
      <c r="AL9" s="45"/>
      <c r="AM9" s="45"/>
      <c r="AN9" s="45"/>
      <c r="AO9" s="45"/>
      <c r="AP9" s="45"/>
      <c r="AQ9" s="45"/>
      <c r="AR9" s="46"/>
      <c r="AS9" s="47"/>
      <c r="AT9" s="35"/>
      <c r="AU9" s="35"/>
      <c r="AV9" s="35"/>
      <c r="AW9" s="48"/>
      <c r="AX9" s="49">
        <f t="shared" si="1"/>
        <v>0</v>
      </c>
      <c r="AY9" s="51">
        <v>0</v>
      </c>
      <c r="AZ9" s="52">
        <v>0</v>
      </c>
      <c r="BA9" s="51">
        <v>0</v>
      </c>
      <c r="BB9" s="53">
        <f t="shared" si="2"/>
        <v>0</v>
      </c>
    </row>
    <row r="10" spans="19:54" s="34" customFormat="1" ht="48" customHeight="1" thickBot="1">
      <c r="S10" s="12">
        <v>4</v>
      </c>
      <c r="T10" s="243" t="s">
        <v>5</v>
      </c>
      <c r="U10" s="35"/>
      <c r="V10" s="125"/>
      <c r="W10" s="125"/>
      <c r="X10" s="36"/>
      <c r="Y10" s="36"/>
      <c r="Z10" s="37">
        <f t="shared" si="0"/>
        <v>0</v>
      </c>
      <c r="AA10" s="38"/>
      <c r="AB10" s="39"/>
      <c r="AC10" s="147"/>
      <c r="AD10" s="101"/>
      <c r="AE10" s="41"/>
      <c r="AF10" s="42"/>
      <c r="AG10" s="42"/>
      <c r="AH10" s="42"/>
      <c r="AI10" s="42"/>
      <c r="AJ10" s="43"/>
      <c r="AK10" s="44"/>
      <c r="AL10" s="45"/>
      <c r="AM10" s="45"/>
      <c r="AN10" s="45"/>
      <c r="AO10" s="45"/>
      <c r="AP10" s="45"/>
      <c r="AQ10" s="45"/>
      <c r="AR10" s="46"/>
      <c r="AS10" s="47"/>
      <c r="AT10" s="35"/>
      <c r="AU10" s="35"/>
      <c r="AV10" s="35"/>
      <c r="AW10" s="48"/>
      <c r="AX10" s="49">
        <f t="shared" si="1"/>
        <v>0</v>
      </c>
      <c r="AY10" s="51">
        <v>0</v>
      </c>
      <c r="AZ10" s="52">
        <v>0</v>
      </c>
      <c r="BA10" s="51">
        <v>0</v>
      </c>
      <c r="BB10" s="53">
        <f t="shared" si="2"/>
        <v>0</v>
      </c>
    </row>
    <row r="11" spans="19:54" s="34" customFormat="1" ht="48" customHeight="1" thickBot="1">
      <c r="S11" s="12">
        <v>5</v>
      </c>
      <c r="T11" s="243"/>
      <c r="U11" s="35"/>
      <c r="V11" s="125"/>
      <c r="W11" s="125"/>
      <c r="X11" s="36"/>
      <c r="Y11" s="120"/>
      <c r="Z11" s="37">
        <f t="shared" si="0"/>
        <v>0</v>
      </c>
      <c r="AA11" s="38"/>
      <c r="AB11" s="39"/>
      <c r="AC11" s="147"/>
      <c r="AD11" s="101"/>
      <c r="AE11" s="41"/>
      <c r="AF11" s="42"/>
      <c r="AG11" s="42"/>
      <c r="AH11" s="42"/>
      <c r="AI11" s="42"/>
      <c r="AJ11" s="43"/>
      <c r="AK11" s="44"/>
      <c r="AL11" s="45"/>
      <c r="AM11" s="45"/>
      <c r="AN11" s="45"/>
      <c r="AO11" s="45"/>
      <c r="AP11" s="45"/>
      <c r="AQ11" s="45"/>
      <c r="AR11" s="46"/>
      <c r="AS11" s="47"/>
      <c r="AT11" s="35"/>
      <c r="AU11" s="35"/>
      <c r="AV11" s="35"/>
      <c r="AW11" s="48"/>
      <c r="AX11" s="49">
        <f t="shared" si="1"/>
        <v>0</v>
      </c>
      <c r="AY11" s="50">
        <v>0</v>
      </c>
      <c r="AZ11" s="51">
        <v>0</v>
      </c>
      <c r="BA11" s="52">
        <v>0</v>
      </c>
      <c r="BB11" s="53">
        <f t="shared" si="2"/>
        <v>0</v>
      </c>
    </row>
    <row r="12" spans="19:54" s="34" customFormat="1" ht="48" customHeight="1" thickBot="1">
      <c r="S12" s="12">
        <v>10</v>
      </c>
      <c r="T12" s="243"/>
      <c r="U12" s="13"/>
      <c r="V12" s="14"/>
      <c r="W12" s="14"/>
      <c r="X12" s="54"/>
      <c r="Y12" s="54"/>
      <c r="Z12" s="55">
        <f t="shared" si="0"/>
        <v>0</v>
      </c>
      <c r="AA12" s="19"/>
      <c r="AB12" s="20"/>
      <c r="AC12" s="149"/>
      <c r="AD12" s="100"/>
      <c r="AE12" s="22"/>
      <c r="AF12" s="23"/>
      <c r="AG12" s="23"/>
      <c r="AH12" s="23"/>
      <c r="AI12" s="23"/>
      <c r="AJ12" s="24"/>
      <c r="AK12" s="25"/>
      <c r="AL12" s="26"/>
      <c r="AM12" s="26"/>
      <c r="AN12" s="26"/>
      <c r="AO12" s="26"/>
      <c r="AP12" s="26"/>
      <c r="AQ12" s="26"/>
      <c r="AR12" s="27"/>
      <c r="AS12" s="28"/>
      <c r="AT12" s="13"/>
      <c r="AU12" s="13"/>
      <c r="AV12" s="13"/>
      <c r="AW12" s="29"/>
      <c r="AX12" s="30">
        <f t="shared" si="1"/>
        <v>0</v>
      </c>
      <c r="AY12" s="31">
        <v>0</v>
      </c>
      <c r="AZ12" s="32">
        <v>0</v>
      </c>
      <c r="BA12" s="31">
        <v>0</v>
      </c>
      <c r="BB12" s="56">
        <f t="shared" si="2"/>
        <v>0</v>
      </c>
    </row>
    <row r="13" spans="19:54" s="34" customFormat="1" ht="48" customHeight="1" thickBot="1">
      <c r="S13" s="12">
        <v>11</v>
      </c>
      <c r="T13" s="244" t="s">
        <v>65</v>
      </c>
      <c r="U13" s="35"/>
      <c r="V13" s="125"/>
      <c r="W13" s="125"/>
      <c r="X13" s="36"/>
      <c r="Y13" s="36"/>
      <c r="Z13" s="37">
        <f t="shared" si="0"/>
        <v>0</v>
      </c>
      <c r="AA13" s="38"/>
      <c r="AB13" s="39"/>
      <c r="AC13" s="147"/>
      <c r="AD13" s="101"/>
      <c r="AE13" s="41"/>
      <c r="AF13" s="42"/>
      <c r="AG13" s="42"/>
      <c r="AH13" s="42"/>
      <c r="AI13" s="42"/>
      <c r="AJ13" s="43"/>
      <c r="AK13" s="44"/>
      <c r="AL13" s="45"/>
      <c r="AM13" s="45"/>
      <c r="AN13" s="45"/>
      <c r="AO13" s="45"/>
      <c r="AP13" s="45"/>
      <c r="AQ13" s="45"/>
      <c r="AR13" s="46"/>
      <c r="AS13" s="47"/>
      <c r="AT13" s="35"/>
      <c r="AU13" s="35"/>
      <c r="AV13" s="35"/>
      <c r="AW13" s="48"/>
      <c r="AX13" s="49">
        <f t="shared" si="1"/>
        <v>0</v>
      </c>
      <c r="AY13" s="50">
        <v>0</v>
      </c>
      <c r="AZ13" s="51">
        <v>0</v>
      </c>
      <c r="BA13" s="52">
        <v>0</v>
      </c>
      <c r="BB13" s="57">
        <f t="shared" si="2"/>
        <v>0</v>
      </c>
    </row>
    <row r="14" spans="19:54" s="34" customFormat="1" ht="48" customHeight="1" thickBot="1">
      <c r="S14" s="12">
        <v>12</v>
      </c>
      <c r="T14" s="244"/>
      <c r="U14" s="35"/>
      <c r="V14" s="125"/>
      <c r="W14" s="125"/>
      <c r="X14" s="36"/>
      <c r="Y14" s="36"/>
      <c r="Z14" s="37">
        <f t="shared" si="0"/>
        <v>0</v>
      </c>
      <c r="AA14" s="38"/>
      <c r="AB14" s="39"/>
      <c r="AC14" s="147"/>
      <c r="AD14" s="101"/>
      <c r="AE14" s="41"/>
      <c r="AF14" s="42"/>
      <c r="AG14" s="42"/>
      <c r="AH14" s="42"/>
      <c r="AI14" s="42"/>
      <c r="AJ14" s="43"/>
      <c r="AK14" s="44"/>
      <c r="AL14" s="45"/>
      <c r="AM14" s="45"/>
      <c r="AN14" s="45"/>
      <c r="AO14" s="45"/>
      <c r="AP14" s="45"/>
      <c r="AQ14" s="45"/>
      <c r="AR14" s="46"/>
      <c r="AS14" s="47"/>
      <c r="AT14" s="35"/>
      <c r="AU14" s="35"/>
      <c r="AV14" s="35"/>
      <c r="AW14" s="48"/>
      <c r="AX14" s="49">
        <f t="shared" si="1"/>
        <v>0</v>
      </c>
      <c r="AY14" s="51">
        <v>0</v>
      </c>
      <c r="AZ14" s="52">
        <v>0</v>
      </c>
      <c r="BA14" s="51">
        <v>0</v>
      </c>
      <c r="BB14" s="57">
        <f t="shared" si="2"/>
        <v>0</v>
      </c>
    </row>
    <row r="15" spans="19:54" s="34" customFormat="1" ht="48" customHeight="1" thickBot="1">
      <c r="S15" s="12">
        <v>13</v>
      </c>
      <c r="T15" s="245"/>
      <c r="U15" s="58"/>
      <c r="V15" s="59"/>
      <c r="W15" s="59"/>
      <c r="X15" s="60"/>
      <c r="Y15" s="60"/>
      <c r="Z15" s="61">
        <f t="shared" si="0"/>
        <v>0</v>
      </c>
      <c r="AA15" s="62"/>
      <c r="AB15" s="63"/>
      <c r="AC15" s="148"/>
      <c r="AD15" s="102"/>
      <c r="AE15" s="65"/>
      <c r="AF15" s="66"/>
      <c r="AG15" s="67"/>
      <c r="AH15" s="67"/>
      <c r="AI15" s="67"/>
      <c r="AJ15" s="66"/>
      <c r="AK15" s="68"/>
      <c r="AL15" s="69"/>
      <c r="AM15" s="69"/>
      <c r="AN15" s="69"/>
      <c r="AO15" s="69"/>
      <c r="AP15" s="69"/>
      <c r="AQ15" s="69"/>
      <c r="AR15" s="70"/>
      <c r="AS15" s="71"/>
      <c r="AT15" s="35"/>
      <c r="AU15" s="35"/>
      <c r="AV15" s="35"/>
      <c r="AW15" s="48"/>
      <c r="AX15" s="49">
        <f t="shared" si="1"/>
        <v>0</v>
      </c>
      <c r="AY15" s="50">
        <v>0</v>
      </c>
      <c r="AZ15" s="51">
        <v>0</v>
      </c>
      <c r="BA15" s="52">
        <v>0</v>
      </c>
      <c r="BB15" s="57">
        <f t="shared" si="2"/>
        <v>0</v>
      </c>
    </row>
    <row r="16" spans="19:54" s="72" customFormat="1" ht="50.1" customHeight="1">
      <c r="S16" s="254" t="s">
        <v>42</v>
      </c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5" t="s">
        <v>53</v>
      </c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6" t="s">
        <v>43</v>
      </c>
      <c r="AU16" s="257"/>
      <c r="AV16" s="257"/>
      <c r="AW16" s="257"/>
      <c r="AX16" s="257"/>
      <c r="AY16" s="257"/>
      <c r="AZ16" s="257"/>
      <c r="BA16" s="257"/>
      <c r="BB16" s="258"/>
    </row>
    <row r="17" spans="18:62" s="72" customFormat="1" ht="60" customHeight="1">
      <c r="S17" s="73" t="s">
        <v>15</v>
      </c>
      <c r="T17" s="300" t="s">
        <v>44</v>
      </c>
      <c r="U17" s="301"/>
      <c r="V17" s="302" t="s">
        <v>45</v>
      </c>
      <c r="W17" s="303"/>
      <c r="X17" s="74" t="s">
        <v>46</v>
      </c>
      <c r="Y17" s="75" t="s">
        <v>67</v>
      </c>
      <c r="Z17" s="304" t="s">
        <v>47</v>
      </c>
      <c r="AA17" s="304"/>
      <c r="AB17" s="304"/>
      <c r="AC17" s="304"/>
      <c r="AD17" s="304"/>
      <c r="AE17" s="304"/>
      <c r="AF17" s="304"/>
      <c r="AG17" s="305" t="s">
        <v>48</v>
      </c>
      <c r="AH17" s="306"/>
      <c r="AI17" s="307" t="s">
        <v>49</v>
      </c>
      <c r="AJ17" s="307"/>
      <c r="AK17" s="92"/>
      <c r="AL17" s="308" t="s">
        <v>68</v>
      </c>
      <c r="AM17" s="309"/>
      <c r="AN17" s="310"/>
      <c r="AO17" s="288" t="s">
        <v>50</v>
      </c>
      <c r="AP17" s="289"/>
      <c r="AQ17" s="289"/>
      <c r="AR17" s="289"/>
      <c r="AS17" s="289"/>
      <c r="AT17" s="76" t="s">
        <v>51</v>
      </c>
      <c r="AU17" s="290" t="s">
        <v>33</v>
      </c>
      <c r="AV17" s="291"/>
      <c r="AW17" s="77" t="s">
        <v>34</v>
      </c>
      <c r="AX17" s="77" t="s">
        <v>66</v>
      </c>
      <c r="AY17" s="77" t="s">
        <v>35</v>
      </c>
      <c r="AZ17" s="77" t="s">
        <v>36</v>
      </c>
      <c r="BA17" s="292" t="s">
        <v>52</v>
      </c>
      <c r="BB17" s="293"/>
    </row>
    <row r="18" spans="18:62" ht="60.75" customHeight="1">
      <c r="S18" s="78">
        <v>1</v>
      </c>
      <c r="T18" s="294"/>
      <c r="U18" s="295"/>
      <c r="V18" s="280"/>
      <c r="W18" s="281"/>
      <c r="X18" s="79" t="str">
        <f>TEXT(MOD(V18-T18,1),"h:mm")</f>
        <v>0:00</v>
      </c>
      <c r="Y18" s="80"/>
      <c r="Z18" s="282"/>
      <c r="AA18" s="282"/>
      <c r="AB18" s="282"/>
      <c r="AC18" s="282"/>
      <c r="AD18" s="282"/>
      <c r="AE18" s="282"/>
      <c r="AF18" s="282"/>
      <c r="AG18" s="296">
        <f>SUM(AX7:AX9)</f>
        <v>0</v>
      </c>
      <c r="AH18" s="297"/>
      <c r="AI18" s="298">
        <f>SUM(AX10:AX12)</f>
        <v>0</v>
      </c>
      <c r="AJ18" s="298"/>
      <c r="AK18" s="93"/>
      <c r="AL18" s="298">
        <f>SUM(AX13:AX15)</f>
        <v>0</v>
      </c>
      <c r="AM18" s="298"/>
      <c r="AN18" s="298"/>
      <c r="AO18" s="299">
        <f>SUM(AG18:AN18)</f>
        <v>0</v>
      </c>
      <c r="AP18" s="299"/>
      <c r="AQ18" s="299"/>
      <c r="AR18" s="299"/>
      <c r="AS18" s="299"/>
      <c r="AT18" s="81" t="s">
        <v>1</v>
      </c>
      <c r="AU18" s="276">
        <f>SUM(AS7:AS9)</f>
        <v>0</v>
      </c>
      <c r="AV18" s="277"/>
      <c r="AW18" s="82">
        <f>SUM(AT7:AT9)</f>
        <v>0</v>
      </c>
      <c r="AX18" s="82">
        <f>SUM(AV7:AV9)</f>
        <v>0</v>
      </c>
      <c r="AY18" s="82">
        <f>SUM(AU7:AU9)</f>
        <v>0</v>
      </c>
      <c r="AZ18" s="82">
        <f>SUM(AW7:AW9)</f>
        <v>0</v>
      </c>
      <c r="BA18" s="276">
        <f>SUM(AU18:AZ18)</f>
        <v>0</v>
      </c>
      <c r="BB18" s="277"/>
    </row>
    <row r="19" spans="18:62" ht="60.75" customHeight="1">
      <c r="S19" s="78">
        <v>2</v>
      </c>
      <c r="T19" s="278"/>
      <c r="U19" s="279"/>
      <c r="V19" s="280"/>
      <c r="W19" s="281"/>
      <c r="X19" s="79" t="str">
        <f>TEXT(MOD(V19-T19,1),"h:mm")</f>
        <v>0:00</v>
      </c>
      <c r="Y19" s="80"/>
      <c r="Z19" s="282"/>
      <c r="AA19" s="282"/>
      <c r="AB19" s="282"/>
      <c r="AC19" s="282"/>
      <c r="AD19" s="282"/>
      <c r="AE19" s="282"/>
      <c r="AF19" s="282"/>
      <c r="AG19" s="283" t="s">
        <v>41</v>
      </c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5"/>
      <c r="AT19" s="83" t="s">
        <v>5</v>
      </c>
      <c r="AU19" s="286">
        <f>SUM(AS10:AS12)</f>
        <v>0</v>
      </c>
      <c r="AV19" s="287"/>
      <c r="AW19" s="84">
        <f>SUM(AT10:AT12)</f>
        <v>0</v>
      </c>
      <c r="AX19" s="84">
        <f>SUM(AV10:AV12)</f>
        <v>0</v>
      </c>
      <c r="AY19" s="84">
        <f>SUM(AU10:AU12)</f>
        <v>0</v>
      </c>
      <c r="AZ19" s="84">
        <f>SUM(AW10:AW12)</f>
        <v>0</v>
      </c>
      <c r="BA19" s="286">
        <f>SUM(AU19:AZ19)</f>
        <v>0</v>
      </c>
      <c r="BB19" s="287"/>
    </row>
    <row r="20" spans="18:62" ht="60.75" customHeight="1">
      <c r="S20" s="78">
        <v>3</v>
      </c>
      <c r="T20" s="278"/>
      <c r="U20" s="279"/>
      <c r="V20" s="280"/>
      <c r="W20" s="281"/>
      <c r="X20" s="79" t="str">
        <f>TEXT(MOD(V20-T20,1),"h:mm")</f>
        <v>0:00</v>
      </c>
      <c r="Y20" s="80"/>
      <c r="Z20" s="327"/>
      <c r="AA20" s="327"/>
      <c r="AB20" s="327"/>
      <c r="AC20" s="327"/>
      <c r="AD20" s="327"/>
      <c r="AE20" s="327"/>
      <c r="AF20" s="327"/>
      <c r="AG20" s="311">
        <f>SUM(BB7:BB9)</f>
        <v>0</v>
      </c>
      <c r="AH20" s="328"/>
      <c r="AI20" s="311">
        <f>SUM(BB10:BB12)</f>
        <v>0</v>
      </c>
      <c r="AJ20" s="328"/>
      <c r="AK20" s="94"/>
      <c r="AL20" s="311">
        <f>SUM(BB13:BB15)</f>
        <v>0</v>
      </c>
      <c r="AM20" s="329"/>
      <c r="AN20" s="328"/>
      <c r="AO20" s="311">
        <f>SUM(AG20:AN20)</f>
        <v>0</v>
      </c>
      <c r="AP20" s="312"/>
      <c r="AQ20" s="312"/>
      <c r="AR20" s="312"/>
      <c r="AS20" s="313"/>
      <c r="AT20" s="91" t="s">
        <v>65</v>
      </c>
      <c r="AU20" s="314">
        <f>SUM(AS13:AS15)</f>
        <v>0</v>
      </c>
      <c r="AV20" s="315"/>
      <c r="AW20" s="99">
        <f>SUM(AT13:AT15)</f>
        <v>0</v>
      </c>
      <c r="AX20" s="99">
        <f>SUM(AV13:AV15)</f>
        <v>0</v>
      </c>
      <c r="AY20" s="99">
        <f>SUM(AU13:AU15)</f>
        <v>0</v>
      </c>
      <c r="AZ20" s="99">
        <f>SUM(AW13:AW15)</f>
        <v>0</v>
      </c>
      <c r="BA20" s="316">
        <f>SUM(AU20:AZ20)</f>
        <v>0</v>
      </c>
      <c r="BB20" s="317"/>
    </row>
    <row r="21" spans="18:62" ht="60.75" customHeight="1">
      <c r="S21" s="78">
        <v>4</v>
      </c>
      <c r="T21" s="278"/>
      <c r="U21" s="279"/>
      <c r="V21" s="280"/>
      <c r="W21" s="281"/>
      <c r="X21" s="79" t="str">
        <f>TEXT(MOD(V21-T21,1),"h:mm")</f>
        <v>0:00</v>
      </c>
      <c r="Y21" s="80"/>
      <c r="Z21" s="318"/>
      <c r="AA21" s="318"/>
      <c r="AB21" s="318"/>
      <c r="AC21" s="318"/>
      <c r="AD21" s="318"/>
      <c r="AE21" s="318"/>
      <c r="AF21" s="318"/>
      <c r="AG21" s="319" t="s">
        <v>54</v>
      </c>
      <c r="AH21" s="320"/>
      <c r="AI21" s="320"/>
      <c r="AJ21" s="320"/>
      <c r="AK21" s="320"/>
      <c r="AL21" s="320"/>
      <c r="AM21" s="320"/>
      <c r="AN21" s="320"/>
      <c r="AO21" s="320"/>
      <c r="AP21" s="320"/>
      <c r="AQ21" s="320"/>
      <c r="AR21" s="320"/>
      <c r="AS21" s="321"/>
      <c r="AT21" s="322" t="s">
        <v>55</v>
      </c>
      <c r="AU21" s="323"/>
      <c r="AV21" s="324"/>
      <c r="AW21" s="325">
        <v>1680</v>
      </c>
      <c r="AX21" s="326"/>
      <c r="AY21" s="322" t="s">
        <v>56</v>
      </c>
      <c r="AZ21" s="324"/>
      <c r="BA21" s="330">
        <v>1628</v>
      </c>
      <c r="BB21" s="331"/>
    </row>
    <row r="22" spans="18:62" ht="54" customHeight="1">
      <c r="S22" s="78">
        <v>5</v>
      </c>
      <c r="T22" s="278"/>
      <c r="U22" s="279"/>
      <c r="V22" s="280"/>
      <c r="W22" s="281"/>
      <c r="X22" s="79" t="str">
        <f>TEXT(MOD(V22-T22,1),"h:mm")</f>
        <v>0:00</v>
      </c>
      <c r="Y22" s="80"/>
      <c r="Z22" s="318"/>
      <c r="AA22" s="318"/>
      <c r="AB22" s="318"/>
      <c r="AC22" s="318"/>
      <c r="AD22" s="318"/>
      <c r="AE22" s="318"/>
      <c r="AF22" s="318"/>
      <c r="AG22" s="357">
        <f>SUM(AY7:BA9)</f>
        <v>0</v>
      </c>
      <c r="AH22" s="357"/>
      <c r="AI22" s="298">
        <f>SUM(AY10:BA12)</f>
        <v>0</v>
      </c>
      <c r="AJ22" s="298"/>
      <c r="AK22" s="95"/>
      <c r="AL22" s="358">
        <f>SUM(AY13:BA15)</f>
        <v>0</v>
      </c>
      <c r="AM22" s="358"/>
      <c r="AN22" s="359"/>
      <c r="AO22" s="360">
        <f>SUM(AG22:AN22)</f>
        <v>0</v>
      </c>
      <c r="AP22" s="361"/>
      <c r="AQ22" s="361"/>
      <c r="AR22" s="361"/>
      <c r="AS22" s="362"/>
      <c r="AT22" s="98" t="s">
        <v>69</v>
      </c>
      <c r="AU22" s="363" t="s">
        <v>48</v>
      </c>
      <c r="AV22" s="364"/>
      <c r="AW22" s="365" t="s">
        <v>49</v>
      </c>
      <c r="AX22" s="366"/>
      <c r="AY22" s="332" t="s">
        <v>68</v>
      </c>
      <c r="AZ22" s="333"/>
      <c r="BA22" s="334" t="s">
        <v>57</v>
      </c>
      <c r="BB22" s="335"/>
    </row>
    <row r="23" spans="18:62" ht="59.25" customHeight="1">
      <c r="S23" s="336" t="s">
        <v>61</v>
      </c>
      <c r="T23" s="337"/>
      <c r="U23" s="337"/>
      <c r="V23" s="337"/>
      <c r="W23" s="338"/>
      <c r="X23" s="85">
        <f>SUM(X18+X19+X20+X21+X22)</f>
        <v>0</v>
      </c>
      <c r="Y23" s="126" t="s">
        <v>62</v>
      </c>
      <c r="Z23" s="86"/>
      <c r="AA23" s="87"/>
      <c r="AB23" s="87"/>
      <c r="AC23" s="339" t="s">
        <v>63</v>
      </c>
      <c r="AD23" s="339"/>
      <c r="AE23" s="340"/>
      <c r="AF23" s="341"/>
      <c r="AG23" s="342" t="s">
        <v>22</v>
      </c>
      <c r="AH23" s="343"/>
      <c r="AI23" s="344"/>
      <c r="AJ23" s="345" t="s">
        <v>48</v>
      </c>
      <c r="AK23" s="346"/>
      <c r="AL23" s="346"/>
      <c r="AM23" s="347"/>
      <c r="AN23" s="348" t="s">
        <v>49</v>
      </c>
      <c r="AO23" s="348"/>
      <c r="AP23" s="348"/>
      <c r="AQ23" s="349" t="s">
        <v>68</v>
      </c>
      <c r="AR23" s="350"/>
      <c r="AS23" s="351"/>
      <c r="AT23" s="96" t="s">
        <v>60</v>
      </c>
      <c r="AU23" s="352">
        <f>SUM(AQ7:AQ9)</f>
        <v>0</v>
      </c>
      <c r="AV23" s="353"/>
      <c r="AW23" s="352">
        <f>SUM(AQ10:AQ12)</f>
        <v>0</v>
      </c>
      <c r="AX23" s="354"/>
      <c r="AY23" s="352">
        <f>SUM(AQ13:AQ15)</f>
        <v>0</v>
      </c>
      <c r="AZ23" s="353"/>
      <c r="BA23" s="355">
        <f>SUM(AU23:AZ23)</f>
        <v>0</v>
      </c>
      <c r="BB23" s="356"/>
    </row>
    <row r="24" spans="18:62" ht="57" customHeight="1">
      <c r="S24" s="367"/>
      <c r="T24" s="368"/>
      <c r="U24" s="368"/>
      <c r="V24" s="368"/>
      <c r="W24" s="369"/>
      <c r="X24" s="373" t="s">
        <v>73</v>
      </c>
      <c r="Y24" s="104" t="s">
        <v>70</v>
      </c>
      <c r="Z24" s="105" t="s">
        <v>71</v>
      </c>
      <c r="AA24" s="103"/>
      <c r="AB24" s="103"/>
      <c r="AC24" s="375" t="s">
        <v>72</v>
      </c>
      <c r="AD24" s="376"/>
      <c r="AE24" s="377" t="s">
        <v>57</v>
      </c>
      <c r="AF24" s="378"/>
      <c r="AG24" s="379" t="s">
        <v>58</v>
      </c>
      <c r="AH24" s="380"/>
      <c r="AI24" s="381"/>
      <c r="AJ24" s="382">
        <f>AVERAGE(Z7:Z8)</f>
        <v>0</v>
      </c>
      <c r="AK24" s="383"/>
      <c r="AL24" s="383"/>
      <c r="AM24" s="383"/>
      <c r="AN24" s="382">
        <f>AVERAGE(Z10:Z12)</f>
        <v>0</v>
      </c>
      <c r="AO24" s="383"/>
      <c r="AP24" s="383"/>
      <c r="AQ24" s="382">
        <f>AVERAGE(Z13)</f>
        <v>0</v>
      </c>
      <c r="AR24" s="383"/>
      <c r="AS24" s="383"/>
      <c r="AT24" s="97" t="s">
        <v>64</v>
      </c>
      <c r="AU24" s="387">
        <f>SUM(AL7:AP9)</f>
        <v>0</v>
      </c>
      <c r="AV24" s="388"/>
      <c r="AW24" s="387">
        <f>SUM(AL10:AP12)</f>
        <v>0</v>
      </c>
      <c r="AX24" s="388"/>
      <c r="AY24" s="387">
        <f>SUM(AL13:AP15)</f>
        <v>0</v>
      </c>
      <c r="AZ24" s="388"/>
      <c r="BA24" s="389">
        <f>SUM(AU24:AZ24)</f>
        <v>0</v>
      </c>
      <c r="BB24" s="390"/>
    </row>
    <row r="25" spans="18:62" ht="52.5" customHeight="1">
      <c r="S25" s="370"/>
      <c r="T25" s="371"/>
      <c r="U25" s="371"/>
      <c r="V25" s="371"/>
      <c r="W25" s="372"/>
      <c r="X25" s="374"/>
      <c r="Y25" s="106">
        <f>SUM(AD7:AD9)</f>
        <v>0</v>
      </c>
      <c r="Z25" s="106">
        <f>SUM(AD10:AD12)</f>
        <v>0</v>
      </c>
      <c r="AA25" s="107"/>
      <c r="AB25" s="107"/>
      <c r="AC25" s="391">
        <f>SUM(AD13:AD15)</f>
        <v>0</v>
      </c>
      <c r="AD25" s="392"/>
      <c r="AE25" s="393">
        <f>SUM(Y25:AD25)</f>
        <v>0</v>
      </c>
      <c r="AF25" s="394"/>
      <c r="AG25" s="379" t="s">
        <v>59</v>
      </c>
      <c r="AH25" s="380"/>
      <c r="AI25" s="381"/>
      <c r="AJ25" s="382">
        <f>SUM(Z7:Z9)</f>
        <v>0</v>
      </c>
      <c r="AK25" s="383"/>
      <c r="AL25" s="383"/>
      <c r="AM25" s="383"/>
      <c r="AN25" s="382">
        <f>SUM(Z10:Z12)</f>
        <v>0</v>
      </c>
      <c r="AO25" s="383"/>
      <c r="AP25" s="383"/>
      <c r="AQ25" s="382">
        <f>SUM(Z13:Z15)</f>
        <v>0</v>
      </c>
      <c r="AR25" s="383"/>
      <c r="AS25" s="383"/>
      <c r="AT25" s="384"/>
      <c r="AU25" s="385"/>
      <c r="AV25" s="385"/>
      <c r="AW25" s="385"/>
      <c r="AX25" s="385"/>
      <c r="AY25" s="385"/>
      <c r="AZ25" s="385"/>
      <c r="BA25" s="385"/>
      <c r="BB25" s="386"/>
    </row>
    <row r="26" spans="18:62" ht="60.75" customHeight="1"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8:62" ht="30" customHeight="1"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8:62" ht="30" customHeight="1"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T28" s="4"/>
      <c r="AU28" s="4"/>
      <c r="AV28" s="4"/>
      <c r="AW28" s="4"/>
      <c r="AX28" s="4"/>
      <c r="AY28" s="4"/>
      <c r="AZ28" s="4"/>
      <c r="BA28" s="4"/>
    </row>
    <row r="29" spans="18:62" ht="30" customHeight="1"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T29" s="4"/>
      <c r="AU29" s="4"/>
      <c r="AV29" s="4"/>
      <c r="AW29" s="4"/>
      <c r="AX29" s="4"/>
      <c r="AY29" s="4"/>
      <c r="AZ29" s="4"/>
      <c r="BA29" s="4"/>
    </row>
    <row r="30" spans="18:62" ht="30" customHeight="1">
      <c r="R30" s="3"/>
      <c r="S30" s="3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T30" s="4"/>
      <c r="AU30" s="4"/>
      <c r="AV30" s="4"/>
      <c r="AW30" s="4"/>
      <c r="AX30" s="4"/>
      <c r="AY30" s="4"/>
      <c r="AZ30" s="4"/>
      <c r="BA30" s="4"/>
    </row>
    <row r="31" spans="18:62" ht="30" customHeight="1">
      <c r="R31" s="3"/>
      <c r="S31" s="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T31" s="4"/>
      <c r="AU31" s="4"/>
      <c r="AV31" s="4"/>
      <c r="AW31" s="4"/>
      <c r="AX31" s="4"/>
      <c r="AY31" s="4"/>
      <c r="AZ31" s="4"/>
      <c r="BA31" s="4"/>
    </row>
    <row r="32" spans="18:62" ht="15" customHeight="1">
      <c r="S32" s="3"/>
      <c r="BJ32" s="4">
        <v>8</v>
      </c>
    </row>
  </sheetData>
  <mergeCells count="145">
    <mergeCell ref="S1:W3"/>
    <mergeCell ref="X1:Y3"/>
    <mergeCell ref="AC1:AE1"/>
    <mergeCell ref="AF1:AH1"/>
    <mergeCell ref="AI1:AL1"/>
    <mergeCell ref="AM1:AP1"/>
    <mergeCell ref="AF3:AH3"/>
    <mergeCell ref="AI3:AL3"/>
    <mergeCell ref="AM3:AP3"/>
    <mergeCell ref="AQ1:AT1"/>
    <mergeCell ref="AU1:AW1"/>
    <mergeCell ref="AF5:AF6"/>
    <mergeCell ref="AG5:AG6"/>
    <mergeCell ref="AX1:BB3"/>
    <mergeCell ref="AC2:AE2"/>
    <mergeCell ref="AF2:AH2"/>
    <mergeCell ref="AI2:AL2"/>
    <mergeCell ref="AM2:AP2"/>
    <mergeCell ref="AQ2:AT2"/>
    <mergeCell ref="AU2:AW2"/>
    <mergeCell ref="AC3:AE3"/>
    <mergeCell ref="AQ3:AT3"/>
    <mergeCell ref="AU3:AW3"/>
    <mergeCell ref="AX4:BB4"/>
    <mergeCell ref="BA5:BA6"/>
    <mergeCell ref="BB5:BB6"/>
    <mergeCell ref="S4:Z4"/>
    <mergeCell ref="AA4:AB4"/>
    <mergeCell ref="AC4:AD4"/>
    <mergeCell ref="AE4:AJ4"/>
    <mergeCell ref="AL4:AQ4"/>
    <mergeCell ref="AS4:AW4"/>
    <mergeCell ref="T7:T9"/>
    <mergeCell ref="T10:T12"/>
    <mergeCell ref="T13:T15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S16:AF16"/>
    <mergeCell ref="AG16:AS16"/>
    <mergeCell ref="AT16:BB16"/>
    <mergeCell ref="AU5:AU6"/>
    <mergeCell ref="AV5:AV6"/>
    <mergeCell ref="AW5:AW6"/>
    <mergeCell ref="AX5:AX6"/>
    <mergeCell ref="AY5:AY6"/>
    <mergeCell ref="AZ5:AZ6"/>
    <mergeCell ref="AH5:AH6"/>
    <mergeCell ref="AI5:AI6"/>
    <mergeCell ref="AJ5:AJ6"/>
    <mergeCell ref="AK5:AR5"/>
    <mergeCell ref="AS5:AS6"/>
    <mergeCell ref="AT5:AT6"/>
    <mergeCell ref="AB5:AB6"/>
    <mergeCell ref="AC5:AC6"/>
    <mergeCell ref="AD5:AD6"/>
    <mergeCell ref="AE5:AE6"/>
    <mergeCell ref="AU18:AV18"/>
    <mergeCell ref="BA18:BB18"/>
    <mergeCell ref="T19:U19"/>
    <mergeCell ref="V19:W19"/>
    <mergeCell ref="Z19:AF19"/>
    <mergeCell ref="AG19:AS19"/>
    <mergeCell ref="AU19:AV19"/>
    <mergeCell ref="BA19:BB19"/>
    <mergeCell ref="AO17:AS17"/>
    <mergeCell ref="AU17:AV17"/>
    <mergeCell ref="BA17:BB17"/>
    <mergeCell ref="T18:U18"/>
    <mergeCell ref="V18:W18"/>
    <mergeCell ref="Z18:AF18"/>
    <mergeCell ref="AG18:AH18"/>
    <mergeCell ref="AI18:AJ18"/>
    <mergeCell ref="AL18:AN18"/>
    <mergeCell ref="AO18:AS18"/>
    <mergeCell ref="T17:U17"/>
    <mergeCell ref="V17:W17"/>
    <mergeCell ref="Z17:AF17"/>
    <mergeCell ref="AG17:AH17"/>
    <mergeCell ref="AI17:AJ17"/>
    <mergeCell ref="AL17:AN17"/>
    <mergeCell ref="AO20:AS20"/>
    <mergeCell ref="AU20:AV20"/>
    <mergeCell ref="BA20:BB20"/>
    <mergeCell ref="T21:U21"/>
    <mergeCell ref="V21:W21"/>
    <mergeCell ref="Z21:AF21"/>
    <mergeCell ref="AG21:AS21"/>
    <mergeCell ref="AT21:AV21"/>
    <mergeCell ref="AW21:AX21"/>
    <mergeCell ref="AY21:AZ21"/>
    <mergeCell ref="T20:U20"/>
    <mergeCell ref="V20:W20"/>
    <mergeCell ref="Z20:AF20"/>
    <mergeCell ref="AG20:AH20"/>
    <mergeCell ref="AI20:AJ20"/>
    <mergeCell ref="AL20:AN20"/>
    <mergeCell ref="BA21:BB21"/>
    <mergeCell ref="AY22:AZ22"/>
    <mergeCell ref="BA22:BB22"/>
    <mergeCell ref="S23:W23"/>
    <mergeCell ref="AC23:AD23"/>
    <mergeCell ref="AE23:AF23"/>
    <mergeCell ref="AG23:AI23"/>
    <mergeCell ref="AJ23:AM23"/>
    <mergeCell ref="AN23:AP23"/>
    <mergeCell ref="AQ23:AS23"/>
    <mergeCell ref="AU23:AV23"/>
    <mergeCell ref="AW23:AX23"/>
    <mergeCell ref="AY23:AZ23"/>
    <mergeCell ref="BA23:BB23"/>
    <mergeCell ref="T22:U22"/>
    <mergeCell ref="V22:W22"/>
    <mergeCell ref="Z22:AF22"/>
    <mergeCell ref="AG22:AH22"/>
    <mergeCell ref="AI22:AJ22"/>
    <mergeCell ref="AL22:AN22"/>
    <mergeCell ref="AO22:AS22"/>
    <mergeCell ref="AU22:AV22"/>
    <mergeCell ref="AW22:AX22"/>
    <mergeCell ref="S24:W25"/>
    <mergeCell ref="X24:X25"/>
    <mergeCell ref="AC24:AD24"/>
    <mergeCell ref="AE24:AF24"/>
    <mergeCell ref="AG24:AI24"/>
    <mergeCell ref="AJ24:AM24"/>
    <mergeCell ref="AN24:AP24"/>
    <mergeCell ref="AQ25:AS25"/>
    <mergeCell ref="AT25:BB25"/>
    <mergeCell ref="AQ24:AS24"/>
    <mergeCell ref="AU24:AV24"/>
    <mergeCell ref="AW24:AX24"/>
    <mergeCell ref="AY24:AZ24"/>
    <mergeCell ref="BA24:BB24"/>
    <mergeCell ref="AC25:AD25"/>
    <mergeCell ref="AE25:AF25"/>
    <mergeCell ref="AG25:AI25"/>
    <mergeCell ref="AJ25:AM25"/>
    <mergeCell ref="AN25:AP25"/>
  </mergeCells>
  <conditionalFormatting sqref="Z7:Z15">
    <cfRule type="cellIs" dxfId="90" priority="3" operator="greaterThan">
      <formula>0.167361111111111</formula>
    </cfRule>
    <cfRule type="cellIs" dxfId="89" priority="4" operator="greaterThan">
      <formula>0.15625</formula>
    </cfRule>
  </conditionalFormatting>
  <conditionalFormatting sqref="AA7:AJ15">
    <cfRule type="cellIs" dxfId="88" priority="11" operator="between">
      <formula>1700</formula>
      <formula>1710</formula>
    </cfRule>
    <cfRule type="cellIs" dxfId="87" priority="12" operator="between">
      <formula>1691</formula>
      <formula>1700</formula>
    </cfRule>
  </conditionalFormatting>
  <conditionalFormatting sqref="AS7:AS15">
    <cfRule type="expression" dxfId="86" priority="13">
      <formula>IF(($AS7/$AX7)*1000&gt;$AY$1,1,0)</formula>
    </cfRule>
  </conditionalFormatting>
  <conditionalFormatting sqref="AT7:AW15">
    <cfRule type="cellIs" dxfId="85" priority="5" operator="greaterThan">
      <formula>10</formula>
    </cfRule>
  </conditionalFormatting>
  <conditionalFormatting sqref="AX7:AX15">
    <cfRule type="cellIs" dxfId="84" priority="2" operator="between">
      <formula>16000</formula>
      <formula>17200</formula>
    </cfRule>
    <cfRule type="cellIs" dxfId="83" priority="6" operator="lessThan">
      <formula>15800</formula>
    </cfRule>
    <cfRule type="cellIs" dxfId="82" priority="7" operator="greaterThan">
      <formula>18000</formula>
    </cfRule>
  </conditionalFormatting>
  <conditionalFormatting sqref="AZ7:BA15">
    <cfRule type="cellIs" dxfId="81" priority="10" operator="greaterThan">
      <formula>0</formula>
    </cfRule>
  </conditionalFormatting>
  <conditionalFormatting sqref="BB7:BB15">
    <cfRule type="cellIs" dxfId="80" priority="1" operator="between">
      <formula>16000</formula>
      <formula>17200</formula>
    </cfRule>
    <cfRule type="cellIs" dxfId="79" priority="8" operator="greaterThan">
      <formula>18000</formula>
    </cfRule>
    <cfRule type="cellIs" dxfId="78" priority="9" operator="lessThan">
      <formula>15800</formula>
    </cfRule>
  </conditionalFormatting>
  <printOptions horizontalCentered="1" verticalCentered="1"/>
  <pageMargins left="0" right="0" top="0" bottom="0.21" header="0" footer="0"/>
  <pageSetup paperSize="9" scale="42" orientation="landscape" cellComments="asDisplayed" r:id="rId1"/>
  <headerFooter differentFirst="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A0FB9-BF7F-4F85-8E55-AFC9A20C4F97}">
  <sheetPr>
    <tabColor theme="5"/>
    <pageSetUpPr fitToPage="1"/>
  </sheetPr>
  <dimension ref="R1:BJ32"/>
  <sheetViews>
    <sheetView showGridLines="0" rightToLeft="1" topLeftCell="O1" zoomScale="55" zoomScaleNormal="55" zoomScalePageLayoutView="40" workbookViewId="0">
      <selection activeCell="AV7" sqref="AV7"/>
    </sheetView>
  </sheetViews>
  <sheetFormatPr defaultColWidth="9.140625" defaultRowHeight="15"/>
  <cols>
    <col min="1" max="18" width="9.140625" style="4"/>
    <col min="19" max="19" width="5.7109375" style="4" customWidth="1"/>
    <col min="20" max="20" width="9.5703125" style="3" customWidth="1"/>
    <col min="21" max="21" width="10.7109375" style="3" customWidth="1"/>
    <col min="22" max="22" width="9.42578125" style="88" customWidth="1"/>
    <col min="23" max="23" width="8.85546875" style="88" customWidth="1"/>
    <col min="24" max="24" width="14.42578125" style="3" customWidth="1"/>
    <col min="25" max="25" width="14.7109375" style="3" customWidth="1"/>
    <col min="26" max="26" width="15.140625" style="88" customWidth="1"/>
    <col min="27" max="27" width="9.5703125" style="3" hidden="1" customWidth="1"/>
    <col min="28" max="28" width="10" style="3" hidden="1" customWidth="1"/>
    <col min="29" max="29" width="8.140625" style="3" customWidth="1"/>
    <col min="30" max="30" width="8.5703125" style="3" customWidth="1"/>
    <col min="31" max="31" width="12.42578125" style="3" customWidth="1"/>
    <col min="32" max="32" width="10.5703125" style="3" customWidth="1"/>
    <col min="33" max="33" width="9.5703125" style="3" customWidth="1"/>
    <col min="34" max="34" width="11.42578125" style="3" customWidth="1"/>
    <col min="35" max="35" width="9.42578125" style="3" customWidth="1"/>
    <col min="36" max="36" width="9.28515625" style="3" customWidth="1"/>
    <col min="37" max="37" width="6.7109375" style="3" hidden="1" customWidth="1"/>
    <col min="38" max="42" width="6.7109375" style="3" customWidth="1"/>
    <col min="43" max="43" width="8.140625" style="3" customWidth="1"/>
    <col min="44" max="44" width="6.7109375" style="3" hidden="1" customWidth="1"/>
    <col min="45" max="45" width="10.42578125" style="3" customWidth="1"/>
    <col min="46" max="46" width="8.7109375" style="3" customWidth="1"/>
    <col min="47" max="47" width="8.5703125" style="3" customWidth="1"/>
    <col min="48" max="48" width="8.7109375" style="3" customWidth="1"/>
    <col min="49" max="49" width="9.5703125" style="3" customWidth="1"/>
    <col min="50" max="50" width="12.42578125" style="88" customWidth="1"/>
    <col min="51" max="51" width="11.85546875" style="3" customWidth="1"/>
    <col min="52" max="52" width="11.5703125" style="3" customWidth="1"/>
    <col min="53" max="53" width="13.42578125" style="3" customWidth="1"/>
    <col min="54" max="54" width="13.5703125" style="4" customWidth="1"/>
    <col min="55" max="57" width="9.140625" style="4"/>
    <col min="58" max="58" width="25" style="4" customWidth="1"/>
    <col min="59" max="61" width="9.140625" style="4"/>
    <col min="62" max="62" width="23.5703125" style="4" customWidth="1"/>
    <col min="63" max="16384" width="9.140625" style="4"/>
  </cols>
  <sheetData>
    <row r="1" spans="19:54" ht="36.75" customHeight="1" thickBot="1">
      <c r="S1" s="180"/>
      <c r="T1" s="181"/>
      <c r="U1" s="181"/>
      <c r="V1" s="181"/>
      <c r="W1" s="181"/>
      <c r="X1" s="182" t="s">
        <v>0</v>
      </c>
      <c r="Y1" s="183"/>
      <c r="Z1" s="1" t="s">
        <v>1</v>
      </c>
      <c r="AA1" s="2"/>
      <c r="AC1" s="188" t="s">
        <v>2</v>
      </c>
      <c r="AD1" s="189"/>
      <c r="AE1" s="189"/>
      <c r="AF1" s="190" t="s">
        <v>75</v>
      </c>
      <c r="AG1" s="191"/>
      <c r="AH1" s="192"/>
      <c r="AI1" s="193" t="s">
        <v>3</v>
      </c>
      <c r="AJ1" s="194"/>
      <c r="AK1" s="194"/>
      <c r="AL1" s="195"/>
      <c r="AM1" s="196" t="s">
        <v>76</v>
      </c>
      <c r="AN1" s="197"/>
      <c r="AO1" s="197"/>
      <c r="AP1" s="198"/>
      <c r="AQ1" s="203" t="s">
        <v>4</v>
      </c>
      <c r="AR1" s="204"/>
      <c r="AS1" s="204"/>
      <c r="AT1" s="205"/>
      <c r="AU1" s="206" t="s">
        <v>74</v>
      </c>
      <c r="AV1" s="207"/>
      <c r="AW1" s="208"/>
      <c r="AX1" s="211" t="s">
        <v>97</v>
      </c>
      <c r="AY1" s="211"/>
      <c r="AZ1" s="211"/>
      <c r="BA1" s="211"/>
      <c r="BB1" s="211"/>
    </row>
    <row r="2" spans="19:54" ht="36.75" customHeight="1" thickBot="1">
      <c r="S2" s="180"/>
      <c r="T2" s="181"/>
      <c r="U2" s="181"/>
      <c r="V2" s="181"/>
      <c r="W2" s="181"/>
      <c r="X2" s="184"/>
      <c r="Y2" s="185"/>
      <c r="Z2" s="5" t="s">
        <v>5</v>
      </c>
      <c r="AA2" s="89"/>
      <c r="AC2" s="188" t="s">
        <v>2</v>
      </c>
      <c r="AD2" s="189"/>
      <c r="AE2" s="212"/>
      <c r="AF2" s="190" t="s">
        <v>78</v>
      </c>
      <c r="AG2" s="191"/>
      <c r="AH2" s="192"/>
      <c r="AI2" s="193" t="s">
        <v>3</v>
      </c>
      <c r="AJ2" s="194"/>
      <c r="AK2" s="194"/>
      <c r="AL2" s="195"/>
      <c r="AM2" s="202" t="s">
        <v>79</v>
      </c>
      <c r="AN2" s="202"/>
      <c r="AO2" s="202"/>
      <c r="AP2" s="202"/>
      <c r="AQ2" s="203" t="s">
        <v>4</v>
      </c>
      <c r="AR2" s="204"/>
      <c r="AS2" s="204"/>
      <c r="AT2" s="205"/>
      <c r="AU2" s="213" t="s">
        <v>77</v>
      </c>
      <c r="AV2" s="213"/>
      <c r="AW2" s="213"/>
      <c r="AX2" s="211"/>
      <c r="AY2" s="211"/>
      <c r="AZ2" s="211"/>
      <c r="BA2" s="211"/>
      <c r="BB2" s="211"/>
    </row>
    <row r="3" spans="19:54" ht="38.25" customHeight="1" thickBot="1">
      <c r="S3" s="181"/>
      <c r="T3" s="181"/>
      <c r="U3" s="181"/>
      <c r="V3" s="181"/>
      <c r="W3" s="181"/>
      <c r="X3" s="186"/>
      <c r="Y3" s="187"/>
      <c r="Z3" s="90" t="s">
        <v>65</v>
      </c>
      <c r="AA3" s="6"/>
      <c r="AC3" s="188" t="s">
        <v>6</v>
      </c>
      <c r="AD3" s="189"/>
      <c r="AE3" s="212"/>
      <c r="AF3" s="190" t="s">
        <v>81</v>
      </c>
      <c r="AG3" s="191"/>
      <c r="AH3" s="192"/>
      <c r="AI3" s="199" t="s">
        <v>7</v>
      </c>
      <c r="AJ3" s="200"/>
      <c r="AK3" s="200"/>
      <c r="AL3" s="201"/>
      <c r="AM3" s="202" t="s">
        <v>82</v>
      </c>
      <c r="AN3" s="202"/>
      <c r="AO3" s="202"/>
      <c r="AP3" s="202"/>
      <c r="AQ3" s="203" t="s">
        <v>4</v>
      </c>
      <c r="AR3" s="204"/>
      <c r="AS3" s="204"/>
      <c r="AT3" s="214"/>
      <c r="AU3" s="215" t="s">
        <v>80</v>
      </c>
      <c r="AV3" s="216"/>
      <c r="AW3" s="217"/>
      <c r="AX3" s="211"/>
      <c r="AY3" s="211"/>
      <c r="AZ3" s="211"/>
      <c r="BA3" s="211"/>
      <c r="BB3" s="211"/>
    </row>
    <row r="4" spans="19:54" ht="34.5" customHeight="1" thickBot="1">
      <c r="S4" s="225" t="s">
        <v>8</v>
      </c>
      <c r="T4" s="226"/>
      <c r="U4" s="226"/>
      <c r="V4" s="226"/>
      <c r="W4" s="226"/>
      <c r="X4" s="227"/>
      <c r="Y4" s="227"/>
      <c r="Z4" s="228"/>
      <c r="AA4" s="229" t="s">
        <v>9</v>
      </c>
      <c r="AB4" s="230"/>
      <c r="AC4" s="231" t="s">
        <v>10</v>
      </c>
      <c r="AD4" s="232"/>
      <c r="AE4" s="233" t="s">
        <v>11</v>
      </c>
      <c r="AF4" s="234"/>
      <c r="AG4" s="234"/>
      <c r="AH4" s="234"/>
      <c r="AI4" s="234"/>
      <c r="AJ4" s="235"/>
      <c r="AK4" s="7"/>
      <c r="AL4" s="236" t="s">
        <v>12</v>
      </c>
      <c r="AM4" s="237"/>
      <c r="AN4" s="237"/>
      <c r="AO4" s="237"/>
      <c r="AP4" s="237"/>
      <c r="AQ4" s="237"/>
      <c r="AR4" s="8"/>
      <c r="AS4" s="238" t="s">
        <v>13</v>
      </c>
      <c r="AT4" s="239"/>
      <c r="AU4" s="239"/>
      <c r="AV4" s="239"/>
      <c r="AW4" s="240"/>
      <c r="AX4" s="218" t="s">
        <v>14</v>
      </c>
      <c r="AY4" s="219"/>
      <c r="AZ4" s="219"/>
      <c r="BA4" s="219"/>
      <c r="BB4" s="220"/>
    </row>
    <row r="5" spans="19:54" ht="52.5" customHeight="1">
      <c r="S5" s="246" t="s">
        <v>15</v>
      </c>
      <c r="T5" s="248" t="s">
        <v>16</v>
      </c>
      <c r="U5" s="248" t="s">
        <v>17</v>
      </c>
      <c r="V5" s="248" t="s">
        <v>18</v>
      </c>
      <c r="W5" s="248" t="s">
        <v>19</v>
      </c>
      <c r="X5" s="248" t="s">
        <v>20</v>
      </c>
      <c r="Y5" s="248" t="s">
        <v>21</v>
      </c>
      <c r="Z5" s="250" t="s">
        <v>22</v>
      </c>
      <c r="AA5" s="252" t="s">
        <v>23</v>
      </c>
      <c r="AB5" s="270" t="s">
        <v>9</v>
      </c>
      <c r="AC5" s="272" t="s">
        <v>24</v>
      </c>
      <c r="AD5" s="272" t="s">
        <v>25</v>
      </c>
      <c r="AE5" s="274" t="s">
        <v>26</v>
      </c>
      <c r="AF5" s="209" t="s">
        <v>27</v>
      </c>
      <c r="AG5" s="209" t="s">
        <v>28</v>
      </c>
      <c r="AH5" s="263" t="s">
        <v>29</v>
      </c>
      <c r="AI5" s="263" t="s">
        <v>30</v>
      </c>
      <c r="AJ5" s="265" t="s">
        <v>31</v>
      </c>
      <c r="AK5" s="267" t="s">
        <v>32</v>
      </c>
      <c r="AL5" s="268"/>
      <c r="AM5" s="268"/>
      <c r="AN5" s="268"/>
      <c r="AO5" s="268"/>
      <c r="AP5" s="268"/>
      <c r="AQ5" s="268"/>
      <c r="AR5" s="269"/>
      <c r="AS5" s="259" t="s">
        <v>33</v>
      </c>
      <c r="AT5" s="259" t="s">
        <v>34</v>
      </c>
      <c r="AU5" s="259" t="s">
        <v>35</v>
      </c>
      <c r="AV5" s="259" t="s">
        <v>66</v>
      </c>
      <c r="AW5" s="261" t="s">
        <v>36</v>
      </c>
      <c r="AX5" s="252" t="s">
        <v>37</v>
      </c>
      <c r="AY5" s="221" t="s">
        <v>38</v>
      </c>
      <c r="AZ5" s="221" t="s">
        <v>39</v>
      </c>
      <c r="BA5" s="221" t="s">
        <v>40</v>
      </c>
      <c r="BB5" s="223" t="s">
        <v>41</v>
      </c>
    </row>
    <row r="6" spans="19:54" ht="27.95" customHeight="1" thickBot="1">
      <c r="S6" s="247"/>
      <c r="T6" s="249"/>
      <c r="U6" s="249"/>
      <c r="V6" s="249"/>
      <c r="W6" s="249"/>
      <c r="X6" s="249"/>
      <c r="Y6" s="249"/>
      <c r="Z6" s="251"/>
      <c r="AA6" s="253"/>
      <c r="AB6" s="271"/>
      <c r="AC6" s="273"/>
      <c r="AD6" s="273"/>
      <c r="AE6" s="275"/>
      <c r="AF6" s="210"/>
      <c r="AG6" s="210"/>
      <c r="AH6" s="264"/>
      <c r="AI6" s="264"/>
      <c r="AJ6" s="266"/>
      <c r="AK6" s="9">
        <v>1</v>
      </c>
      <c r="AL6" s="10">
        <v>2</v>
      </c>
      <c r="AM6" s="10">
        <v>3</v>
      </c>
      <c r="AN6" s="10">
        <v>4</v>
      </c>
      <c r="AO6" s="10">
        <v>5</v>
      </c>
      <c r="AP6" s="10">
        <v>6</v>
      </c>
      <c r="AQ6" s="10">
        <v>12</v>
      </c>
      <c r="AR6" s="11"/>
      <c r="AS6" s="260"/>
      <c r="AT6" s="260"/>
      <c r="AU6" s="260"/>
      <c r="AV6" s="260"/>
      <c r="AW6" s="262"/>
      <c r="AX6" s="253"/>
      <c r="AY6" s="222"/>
      <c r="AZ6" s="222"/>
      <c r="BA6" s="222"/>
      <c r="BB6" s="224"/>
    </row>
    <row r="7" spans="19:54" s="34" customFormat="1" ht="48" customHeight="1" thickBot="1">
      <c r="S7" s="12">
        <v>1</v>
      </c>
      <c r="T7" s="241" t="s">
        <v>1</v>
      </c>
      <c r="U7" s="13"/>
      <c r="V7" s="14"/>
      <c r="W7" s="15"/>
      <c r="X7" s="16"/>
      <c r="Y7" s="17"/>
      <c r="Z7" s="18">
        <f t="shared" ref="Z7:Z15" si="0">IF(Y7&lt;X7,1+Y7-X7,Y7-X7)</f>
        <v>0</v>
      </c>
      <c r="AA7" s="19"/>
      <c r="AB7" s="20"/>
      <c r="AC7" s="21"/>
      <c r="AD7" s="100"/>
      <c r="AE7" s="22"/>
      <c r="AF7" s="23"/>
      <c r="AG7" s="23"/>
      <c r="AH7" s="23"/>
      <c r="AI7" s="23"/>
      <c r="AJ7" s="24"/>
      <c r="AK7" s="25"/>
      <c r="AL7" s="26"/>
      <c r="AM7" s="26"/>
      <c r="AN7" s="26"/>
      <c r="AO7" s="26"/>
      <c r="AP7" s="26"/>
      <c r="AQ7" s="26"/>
      <c r="AR7" s="27"/>
      <c r="AS7" s="28"/>
      <c r="AT7" s="13"/>
      <c r="AU7" s="13"/>
      <c r="AV7" s="13"/>
      <c r="AW7" s="29"/>
      <c r="AX7" s="30">
        <f t="shared" ref="AX7:AX15" si="1">SUM(AY7:BB7)</f>
        <v>0</v>
      </c>
      <c r="AY7" s="31">
        <v>0</v>
      </c>
      <c r="AZ7" s="32">
        <v>0</v>
      </c>
      <c r="BA7" s="31">
        <v>0</v>
      </c>
      <c r="BB7" s="33">
        <f t="shared" ref="BB7:BB15" si="2">SUM(($AQ$6*AQ7+$AP$6*AP7+$AN$6*AN7+$AM$6*$AM7+$AL$6*AL7+$AK$6*AK7+$AO$6*AO7+$AR$6*AR7)*175)</f>
        <v>0</v>
      </c>
    </row>
    <row r="8" spans="19:54" s="34" customFormat="1" ht="48" customHeight="1" thickBot="1">
      <c r="S8" s="12">
        <v>2</v>
      </c>
      <c r="T8" s="242"/>
      <c r="U8" s="35"/>
      <c r="V8" s="119"/>
      <c r="W8" s="119"/>
      <c r="X8" s="36"/>
      <c r="Y8" s="36"/>
      <c r="Z8" s="37">
        <f t="shared" si="0"/>
        <v>0</v>
      </c>
      <c r="AA8" s="38"/>
      <c r="AB8" s="39"/>
      <c r="AC8" s="147"/>
      <c r="AD8" s="101"/>
      <c r="AE8" s="41"/>
      <c r="AF8" s="42"/>
      <c r="AG8" s="42"/>
      <c r="AH8" s="42"/>
      <c r="AI8" s="42"/>
      <c r="AJ8" s="43"/>
      <c r="AK8" s="44"/>
      <c r="AL8" s="45"/>
      <c r="AM8" s="45"/>
      <c r="AN8" s="45"/>
      <c r="AO8" s="45"/>
      <c r="AP8" s="45"/>
      <c r="AQ8" s="45"/>
      <c r="AR8" s="46"/>
      <c r="AS8" s="47"/>
      <c r="AT8" s="35"/>
      <c r="AU8" s="35"/>
      <c r="AV8" s="35"/>
      <c r="AW8" s="48"/>
      <c r="AX8" s="49">
        <f t="shared" si="1"/>
        <v>0</v>
      </c>
      <c r="AY8" s="50">
        <v>0</v>
      </c>
      <c r="AZ8" s="51">
        <v>0</v>
      </c>
      <c r="BA8" s="52">
        <v>0</v>
      </c>
      <c r="BB8" s="53">
        <f t="shared" si="2"/>
        <v>0</v>
      </c>
    </row>
    <row r="9" spans="19:54" s="34" customFormat="1" ht="48" customHeight="1" thickBot="1">
      <c r="S9" s="12">
        <v>3</v>
      </c>
      <c r="T9" s="242"/>
      <c r="U9" s="35"/>
      <c r="V9" s="119"/>
      <c r="W9" s="119"/>
      <c r="X9" s="36"/>
      <c r="Y9" s="36"/>
      <c r="Z9" s="37">
        <f t="shared" si="0"/>
        <v>0</v>
      </c>
      <c r="AA9" s="38"/>
      <c r="AB9" s="39"/>
      <c r="AC9" s="40"/>
      <c r="AD9" s="101"/>
      <c r="AE9" s="41"/>
      <c r="AF9" s="42"/>
      <c r="AG9" s="42"/>
      <c r="AH9" s="42"/>
      <c r="AI9" s="42"/>
      <c r="AJ9" s="43"/>
      <c r="AK9" s="44"/>
      <c r="AL9" s="45"/>
      <c r="AM9" s="45"/>
      <c r="AN9" s="45"/>
      <c r="AO9" s="45"/>
      <c r="AP9" s="45"/>
      <c r="AQ9" s="45"/>
      <c r="AR9" s="46"/>
      <c r="AS9" s="47"/>
      <c r="AT9" s="35"/>
      <c r="AU9" s="35"/>
      <c r="AV9" s="35"/>
      <c r="AW9" s="48"/>
      <c r="AX9" s="49">
        <f t="shared" si="1"/>
        <v>0</v>
      </c>
      <c r="AY9" s="51">
        <v>0</v>
      </c>
      <c r="AZ9" s="52">
        <v>0</v>
      </c>
      <c r="BA9" s="51">
        <v>0</v>
      </c>
      <c r="BB9" s="53">
        <f t="shared" si="2"/>
        <v>0</v>
      </c>
    </row>
    <row r="10" spans="19:54" s="34" customFormat="1" ht="48" customHeight="1" thickBot="1">
      <c r="S10" s="12">
        <v>4</v>
      </c>
      <c r="T10" s="243" t="s">
        <v>5</v>
      </c>
      <c r="U10" s="35"/>
      <c r="V10" s="119"/>
      <c r="W10" s="119"/>
      <c r="X10" s="36"/>
      <c r="Y10" s="36"/>
      <c r="Z10" s="37">
        <f t="shared" si="0"/>
        <v>0</v>
      </c>
      <c r="AA10" s="38"/>
      <c r="AB10" s="39"/>
      <c r="AC10" s="40"/>
      <c r="AD10" s="101"/>
      <c r="AE10" s="41"/>
      <c r="AF10" s="42"/>
      <c r="AG10" s="42"/>
      <c r="AH10" s="42"/>
      <c r="AI10" s="42"/>
      <c r="AJ10" s="43"/>
      <c r="AK10" s="44"/>
      <c r="AL10" s="45"/>
      <c r="AM10" s="45"/>
      <c r="AN10" s="45"/>
      <c r="AO10" s="45"/>
      <c r="AP10" s="45"/>
      <c r="AQ10" s="45"/>
      <c r="AR10" s="46"/>
      <c r="AS10" s="47"/>
      <c r="AT10" s="35"/>
      <c r="AU10" s="35"/>
      <c r="AV10" s="35"/>
      <c r="AW10" s="48"/>
      <c r="AX10" s="49">
        <f t="shared" si="1"/>
        <v>0</v>
      </c>
      <c r="AY10" s="51">
        <v>0</v>
      </c>
      <c r="AZ10" s="52">
        <v>0</v>
      </c>
      <c r="BA10" s="51">
        <v>0</v>
      </c>
      <c r="BB10" s="53">
        <f t="shared" si="2"/>
        <v>0</v>
      </c>
    </row>
    <row r="11" spans="19:54" s="34" customFormat="1" ht="48" customHeight="1" thickBot="1">
      <c r="S11" s="12">
        <v>5</v>
      </c>
      <c r="T11" s="243"/>
      <c r="U11" s="35"/>
      <c r="V11" s="119"/>
      <c r="W11" s="119"/>
      <c r="X11" s="36"/>
      <c r="Y11" s="120"/>
      <c r="Z11" s="37">
        <f t="shared" si="0"/>
        <v>0</v>
      </c>
      <c r="AA11" s="38"/>
      <c r="AB11" s="39"/>
      <c r="AC11" s="40"/>
      <c r="AD11" s="101"/>
      <c r="AE11" s="41"/>
      <c r="AF11" s="42"/>
      <c r="AG11" s="42"/>
      <c r="AH11" s="42"/>
      <c r="AI11" s="42"/>
      <c r="AJ11" s="43"/>
      <c r="AK11" s="44"/>
      <c r="AL11" s="45"/>
      <c r="AM11" s="45"/>
      <c r="AN11" s="45"/>
      <c r="AO11" s="45"/>
      <c r="AP11" s="45"/>
      <c r="AQ11" s="45"/>
      <c r="AR11" s="46"/>
      <c r="AS11" s="47"/>
      <c r="AT11" s="35"/>
      <c r="AU11" s="35"/>
      <c r="AV11" s="35"/>
      <c r="AW11" s="48"/>
      <c r="AX11" s="49">
        <f t="shared" si="1"/>
        <v>0</v>
      </c>
      <c r="AY11" s="50">
        <v>0</v>
      </c>
      <c r="AZ11" s="51">
        <v>0</v>
      </c>
      <c r="BA11" s="52">
        <v>0</v>
      </c>
      <c r="BB11" s="53">
        <f t="shared" si="2"/>
        <v>0</v>
      </c>
    </row>
    <row r="12" spans="19:54" s="34" customFormat="1" ht="48" customHeight="1" thickBot="1">
      <c r="S12" s="12">
        <v>10</v>
      </c>
      <c r="T12" s="243"/>
      <c r="U12" s="13"/>
      <c r="V12" s="14"/>
      <c r="W12" s="14"/>
      <c r="X12" s="54"/>
      <c r="Y12" s="54"/>
      <c r="Z12" s="55">
        <f t="shared" si="0"/>
        <v>0</v>
      </c>
      <c r="AA12" s="19"/>
      <c r="AB12" s="20"/>
      <c r="AC12" s="21"/>
      <c r="AD12" s="100"/>
      <c r="AE12" s="22"/>
      <c r="AF12" s="23"/>
      <c r="AG12" s="23"/>
      <c r="AH12" s="23"/>
      <c r="AI12" s="23"/>
      <c r="AJ12" s="24"/>
      <c r="AK12" s="25"/>
      <c r="AL12" s="26"/>
      <c r="AM12" s="26"/>
      <c r="AN12" s="26"/>
      <c r="AO12" s="26"/>
      <c r="AP12" s="26"/>
      <c r="AQ12" s="26"/>
      <c r="AR12" s="27"/>
      <c r="AS12" s="28"/>
      <c r="AT12" s="13"/>
      <c r="AU12" s="13"/>
      <c r="AV12" s="13"/>
      <c r="AW12" s="29"/>
      <c r="AX12" s="30">
        <f t="shared" si="1"/>
        <v>0</v>
      </c>
      <c r="AY12" s="31">
        <v>0</v>
      </c>
      <c r="AZ12" s="32">
        <v>0</v>
      </c>
      <c r="BA12" s="31">
        <v>0</v>
      </c>
      <c r="BB12" s="56">
        <f t="shared" si="2"/>
        <v>0</v>
      </c>
    </row>
    <row r="13" spans="19:54" s="34" customFormat="1" ht="48" customHeight="1" thickBot="1">
      <c r="S13" s="12">
        <v>11</v>
      </c>
      <c r="T13" s="244" t="s">
        <v>65</v>
      </c>
      <c r="U13" s="35"/>
      <c r="V13" s="119"/>
      <c r="W13" s="119"/>
      <c r="X13" s="36"/>
      <c r="Y13" s="36"/>
      <c r="Z13" s="37">
        <f t="shared" si="0"/>
        <v>0</v>
      </c>
      <c r="AA13" s="38"/>
      <c r="AB13" s="39"/>
      <c r="AC13" s="147"/>
      <c r="AD13" s="101"/>
      <c r="AE13" s="41"/>
      <c r="AF13" s="42"/>
      <c r="AG13" s="42"/>
      <c r="AH13" s="42"/>
      <c r="AI13" s="42"/>
      <c r="AJ13" s="43"/>
      <c r="AK13" s="44"/>
      <c r="AL13" s="45"/>
      <c r="AM13" s="45"/>
      <c r="AN13" s="45"/>
      <c r="AO13" s="45"/>
      <c r="AP13" s="45"/>
      <c r="AQ13" s="45"/>
      <c r="AR13" s="46"/>
      <c r="AS13" s="47"/>
      <c r="AT13" s="35"/>
      <c r="AU13" s="35"/>
      <c r="AV13" s="35"/>
      <c r="AW13" s="48"/>
      <c r="AX13" s="49">
        <f t="shared" si="1"/>
        <v>0</v>
      </c>
      <c r="AY13" s="50">
        <v>0</v>
      </c>
      <c r="AZ13" s="51">
        <v>0</v>
      </c>
      <c r="BA13" s="52">
        <v>0</v>
      </c>
      <c r="BB13" s="57">
        <f t="shared" si="2"/>
        <v>0</v>
      </c>
    </row>
    <row r="14" spans="19:54" s="34" customFormat="1" ht="48" customHeight="1" thickBot="1">
      <c r="S14" s="12">
        <v>12</v>
      </c>
      <c r="T14" s="244"/>
      <c r="U14" s="35"/>
      <c r="V14" s="119"/>
      <c r="W14" s="119"/>
      <c r="X14" s="36"/>
      <c r="Y14" s="36"/>
      <c r="Z14" s="37">
        <f t="shared" si="0"/>
        <v>0</v>
      </c>
      <c r="AA14" s="38"/>
      <c r="AB14" s="39"/>
      <c r="AC14" s="40"/>
      <c r="AD14" s="101"/>
      <c r="AE14" s="41"/>
      <c r="AF14" s="42"/>
      <c r="AG14" s="42"/>
      <c r="AH14" s="42"/>
      <c r="AI14" s="42"/>
      <c r="AJ14" s="43"/>
      <c r="AK14" s="44"/>
      <c r="AL14" s="45"/>
      <c r="AM14" s="45"/>
      <c r="AN14" s="45"/>
      <c r="AO14" s="45"/>
      <c r="AP14" s="45"/>
      <c r="AQ14" s="45"/>
      <c r="AR14" s="46"/>
      <c r="AS14" s="47"/>
      <c r="AT14" s="35"/>
      <c r="AU14" s="35"/>
      <c r="AV14" s="35"/>
      <c r="AW14" s="48"/>
      <c r="AX14" s="49">
        <f t="shared" si="1"/>
        <v>0</v>
      </c>
      <c r="AY14" s="51">
        <v>0</v>
      </c>
      <c r="AZ14" s="52">
        <v>0</v>
      </c>
      <c r="BA14" s="51">
        <v>0</v>
      </c>
      <c r="BB14" s="57">
        <f t="shared" si="2"/>
        <v>0</v>
      </c>
    </row>
    <row r="15" spans="19:54" s="34" customFormat="1" ht="48" customHeight="1" thickBot="1">
      <c r="S15" s="12">
        <v>13</v>
      </c>
      <c r="T15" s="245"/>
      <c r="U15" s="58"/>
      <c r="V15" s="59"/>
      <c r="W15" s="59"/>
      <c r="X15" s="60"/>
      <c r="Y15" s="60"/>
      <c r="Z15" s="61">
        <f t="shared" si="0"/>
        <v>0</v>
      </c>
      <c r="AA15" s="62"/>
      <c r="AB15" s="63"/>
      <c r="AC15" s="64"/>
      <c r="AD15" s="102"/>
      <c r="AE15" s="65"/>
      <c r="AF15" s="66"/>
      <c r="AG15" s="67"/>
      <c r="AH15" s="67"/>
      <c r="AI15" s="67"/>
      <c r="AJ15" s="66"/>
      <c r="AK15" s="68"/>
      <c r="AL15" s="69"/>
      <c r="AM15" s="69"/>
      <c r="AN15" s="69"/>
      <c r="AO15" s="69"/>
      <c r="AP15" s="69"/>
      <c r="AQ15" s="69"/>
      <c r="AR15" s="70"/>
      <c r="AS15" s="71"/>
      <c r="AT15" s="35"/>
      <c r="AU15" s="35"/>
      <c r="AV15" s="35"/>
      <c r="AW15" s="48"/>
      <c r="AX15" s="49">
        <f t="shared" si="1"/>
        <v>0</v>
      </c>
      <c r="AY15" s="50">
        <v>0</v>
      </c>
      <c r="AZ15" s="51">
        <v>0</v>
      </c>
      <c r="BA15" s="52">
        <v>0</v>
      </c>
      <c r="BB15" s="57">
        <f t="shared" si="2"/>
        <v>0</v>
      </c>
    </row>
    <row r="16" spans="19:54" s="72" customFormat="1" ht="50.1" customHeight="1">
      <c r="S16" s="254" t="s">
        <v>42</v>
      </c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5" t="s">
        <v>53</v>
      </c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6" t="s">
        <v>43</v>
      </c>
      <c r="AU16" s="257"/>
      <c r="AV16" s="257"/>
      <c r="AW16" s="257"/>
      <c r="AX16" s="257"/>
      <c r="AY16" s="257"/>
      <c r="AZ16" s="257"/>
      <c r="BA16" s="257"/>
      <c r="BB16" s="258"/>
    </row>
    <row r="17" spans="18:62" s="72" customFormat="1" ht="60" customHeight="1">
      <c r="S17" s="73" t="s">
        <v>15</v>
      </c>
      <c r="T17" s="300" t="s">
        <v>44</v>
      </c>
      <c r="U17" s="301"/>
      <c r="V17" s="302" t="s">
        <v>45</v>
      </c>
      <c r="W17" s="303"/>
      <c r="X17" s="74" t="s">
        <v>46</v>
      </c>
      <c r="Y17" s="75" t="s">
        <v>67</v>
      </c>
      <c r="Z17" s="304" t="s">
        <v>47</v>
      </c>
      <c r="AA17" s="304"/>
      <c r="AB17" s="304"/>
      <c r="AC17" s="304"/>
      <c r="AD17" s="304"/>
      <c r="AE17" s="304"/>
      <c r="AF17" s="304"/>
      <c r="AG17" s="305" t="s">
        <v>48</v>
      </c>
      <c r="AH17" s="306"/>
      <c r="AI17" s="307" t="s">
        <v>49</v>
      </c>
      <c r="AJ17" s="307"/>
      <c r="AK17" s="92"/>
      <c r="AL17" s="308" t="s">
        <v>68</v>
      </c>
      <c r="AM17" s="309"/>
      <c r="AN17" s="310"/>
      <c r="AO17" s="288" t="s">
        <v>50</v>
      </c>
      <c r="AP17" s="289"/>
      <c r="AQ17" s="289"/>
      <c r="AR17" s="289"/>
      <c r="AS17" s="289"/>
      <c r="AT17" s="76" t="s">
        <v>51</v>
      </c>
      <c r="AU17" s="290" t="s">
        <v>33</v>
      </c>
      <c r="AV17" s="291"/>
      <c r="AW17" s="77" t="s">
        <v>34</v>
      </c>
      <c r="AX17" s="77" t="s">
        <v>66</v>
      </c>
      <c r="AY17" s="77" t="s">
        <v>35</v>
      </c>
      <c r="AZ17" s="77" t="s">
        <v>36</v>
      </c>
      <c r="BA17" s="292" t="s">
        <v>52</v>
      </c>
      <c r="BB17" s="293"/>
    </row>
    <row r="18" spans="18:62" ht="60.75" customHeight="1">
      <c r="S18" s="78">
        <v>1</v>
      </c>
      <c r="T18" s="294"/>
      <c r="U18" s="295"/>
      <c r="V18" s="280"/>
      <c r="W18" s="281"/>
      <c r="X18" s="79" t="str">
        <f>TEXT(MOD(V18-T18,1),"h:mm")</f>
        <v>0:00</v>
      </c>
      <c r="Y18" s="80"/>
      <c r="Z18" s="282"/>
      <c r="AA18" s="282"/>
      <c r="AB18" s="282"/>
      <c r="AC18" s="282"/>
      <c r="AD18" s="282"/>
      <c r="AE18" s="282"/>
      <c r="AF18" s="282"/>
      <c r="AG18" s="296">
        <f>SUM(AX7:AX9)</f>
        <v>0</v>
      </c>
      <c r="AH18" s="297"/>
      <c r="AI18" s="298">
        <f>SUM(AX10:AX12)</f>
        <v>0</v>
      </c>
      <c r="AJ18" s="298"/>
      <c r="AK18" s="93"/>
      <c r="AL18" s="298">
        <f>SUM(AX13:AX15)</f>
        <v>0</v>
      </c>
      <c r="AM18" s="298"/>
      <c r="AN18" s="298"/>
      <c r="AO18" s="299">
        <f>SUM(AG18:AN18)</f>
        <v>0</v>
      </c>
      <c r="AP18" s="299"/>
      <c r="AQ18" s="299"/>
      <c r="AR18" s="299"/>
      <c r="AS18" s="299"/>
      <c r="AT18" s="81" t="s">
        <v>1</v>
      </c>
      <c r="AU18" s="276">
        <f>SUM(AS7:AS9)</f>
        <v>0</v>
      </c>
      <c r="AV18" s="277"/>
      <c r="AW18" s="82">
        <f>SUM(AT7:AT9)</f>
        <v>0</v>
      </c>
      <c r="AX18" s="82">
        <f>SUM(AV7:AV9)</f>
        <v>0</v>
      </c>
      <c r="AY18" s="82">
        <f>SUM(AU7:AU9)</f>
        <v>0</v>
      </c>
      <c r="AZ18" s="82">
        <f>SUM(AW7:AW9)</f>
        <v>0</v>
      </c>
      <c r="BA18" s="276">
        <f>SUM(AU18:AZ18)</f>
        <v>0</v>
      </c>
      <c r="BB18" s="277"/>
    </row>
    <row r="19" spans="18:62" ht="60.75" customHeight="1">
      <c r="S19" s="78">
        <v>2</v>
      </c>
      <c r="T19" s="278"/>
      <c r="U19" s="279"/>
      <c r="V19" s="280"/>
      <c r="W19" s="281"/>
      <c r="X19" s="79" t="str">
        <f>TEXT(MOD(V19-T19,1),"h:mm")</f>
        <v>0:00</v>
      </c>
      <c r="Y19" s="80"/>
      <c r="Z19" s="282"/>
      <c r="AA19" s="282"/>
      <c r="AB19" s="282"/>
      <c r="AC19" s="282"/>
      <c r="AD19" s="282"/>
      <c r="AE19" s="282"/>
      <c r="AF19" s="282"/>
      <c r="AG19" s="283" t="s">
        <v>41</v>
      </c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5"/>
      <c r="AT19" s="83" t="s">
        <v>5</v>
      </c>
      <c r="AU19" s="286">
        <f>SUM(AS10:AS12)</f>
        <v>0</v>
      </c>
      <c r="AV19" s="287"/>
      <c r="AW19" s="84">
        <f>SUM(AT10:AT12)</f>
        <v>0</v>
      </c>
      <c r="AX19" s="84">
        <f>SUM(AV10:AV12)</f>
        <v>0</v>
      </c>
      <c r="AY19" s="84">
        <f>SUM(AU10:AU12)</f>
        <v>0</v>
      </c>
      <c r="AZ19" s="84">
        <f>SUM(AW10:AW12)</f>
        <v>0</v>
      </c>
      <c r="BA19" s="286">
        <f>SUM(AU19:AZ19)</f>
        <v>0</v>
      </c>
      <c r="BB19" s="287"/>
    </row>
    <row r="20" spans="18:62" ht="60.75" customHeight="1">
      <c r="S20" s="78">
        <v>3</v>
      </c>
      <c r="T20" s="278"/>
      <c r="U20" s="279"/>
      <c r="V20" s="280"/>
      <c r="W20" s="281"/>
      <c r="X20" s="79" t="str">
        <f>TEXT(MOD(V20-T20,1),"h:mm")</f>
        <v>0:00</v>
      </c>
      <c r="Y20" s="80"/>
      <c r="Z20" s="327"/>
      <c r="AA20" s="327"/>
      <c r="AB20" s="327"/>
      <c r="AC20" s="327"/>
      <c r="AD20" s="327"/>
      <c r="AE20" s="327"/>
      <c r="AF20" s="327"/>
      <c r="AG20" s="311">
        <f>SUM(BB7:BB9)</f>
        <v>0</v>
      </c>
      <c r="AH20" s="328"/>
      <c r="AI20" s="311">
        <f>SUM(BB10:BB12)</f>
        <v>0</v>
      </c>
      <c r="AJ20" s="328"/>
      <c r="AK20" s="94"/>
      <c r="AL20" s="311">
        <f>SUM(BB13:BB15)</f>
        <v>0</v>
      </c>
      <c r="AM20" s="329"/>
      <c r="AN20" s="328"/>
      <c r="AO20" s="311">
        <f>SUM(AG20:AN20)</f>
        <v>0</v>
      </c>
      <c r="AP20" s="312"/>
      <c r="AQ20" s="312"/>
      <c r="AR20" s="312"/>
      <c r="AS20" s="313"/>
      <c r="AT20" s="91" t="s">
        <v>65</v>
      </c>
      <c r="AU20" s="314">
        <f>SUM(AS13:AS15)</f>
        <v>0</v>
      </c>
      <c r="AV20" s="315"/>
      <c r="AW20" s="99">
        <f>SUM(AT13:AT15)</f>
        <v>0</v>
      </c>
      <c r="AX20" s="99">
        <f>SUM(AV13:AV15)</f>
        <v>0</v>
      </c>
      <c r="AY20" s="99">
        <f>SUM(AU13:AU15)</f>
        <v>0</v>
      </c>
      <c r="AZ20" s="99">
        <f>SUM(AW13:AW15)</f>
        <v>0</v>
      </c>
      <c r="BA20" s="316">
        <f>SUM(AU20:AZ20)</f>
        <v>0</v>
      </c>
      <c r="BB20" s="317"/>
    </row>
    <row r="21" spans="18:62" ht="60.75" customHeight="1">
      <c r="S21" s="78">
        <v>4</v>
      </c>
      <c r="T21" s="278"/>
      <c r="U21" s="279"/>
      <c r="V21" s="280"/>
      <c r="W21" s="281"/>
      <c r="X21" s="79" t="str">
        <f>TEXT(MOD(V21-T21,1),"h:mm")</f>
        <v>0:00</v>
      </c>
      <c r="Y21" s="80"/>
      <c r="Z21" s="318"/>
      <c r="AA21" s="318"/>
      <c r="AB21" s="318"/>
      <c r="AC21" s="318"/>
      <c r="AD21" s="318"/>
      <c r="AE21" s="318"/>
      <c r="AF21" s="318"/>
      <c r="AG21" s="319" t="s">
        <v>54</v>
      </c>
      <c r="AH21" s="320"/>
      <c r="AI21" s="320"/>
      <c r="AJ21" s="320"/>
      <c r="AK21" s="320"/>
      <c r="AL21" s="320"/>
      <c r="AM21" s="320"/>
      <c r="AN21" s="320"/>
      <c r="AO21" s="320"/>
      <c r="AP21" s="320"/>
      <c r="AQ21" s="320"/>
      <c r="AR21" s="320"/>
      <c r="AS21" s="321"/>
      <c r="AT21" s="322" t="s">
        <v>55</v>
      </c>
      <c r="AU21" s="323"/>
      <c r="AV21" s="324"/>
      <c r="AW21" s="325">
        <v>1680</v>
      </c>
      <c r="AX21" s="326"/>
      <c r="AY21" s="322" t="s">
        <v>56</v>
      </c>
      <c r="AZ21" s="324"/>
      <c r="BA21" s="330">
        <v>1628</v>
      </c>
      <c r="BB21" s="331"/>
    </row>
    <row r="22" spans="18:62" ht="54" customHeight="1">
      <c r="S22" s="78">
        <v>5</v>
      </c>
      <c r="T22" s="278"/>
      <c r="U22" s="279"/>
      <c r="V22" s="280"/>
      <c r="W22" s="281"/>
      <c r="X22" s="79" t="str">
        <f>TEXT(MOD(V22-T22,1),"h:mm")</f>
        <v>0:00</v>
      </c>
      <c r="Y22" s="80"/>
      <c r="Z22" s="318"/>
      <c r="AA22" s="318"/>
      <c r="AB22" s="318"/>
      <c r="AC22" s="318"/>
      <c r="AD22" s="318"/>
      <c r="AE22" s="318"/>
      <c r="AF22" s="318"/>
      <c r="AG22" s="357">
        <f>SUM(AY7:BA9)</f>
        <v>0</v>
      </c>
      <c r="AH22" s="357"/>
      <c r="AI22" s="298">
        <f>SUM(AY10:BA12)</f>
        <v>0</v>
      </c>
      <c r="AJ22" s="298"/>
      <c r="AK22" s="95"/>
      <c r="AL22" s="358">
        <f>SUM(AY13:BA15)</f>
        <v>0</v>
      </c>
      <c r="AM22" s="358"/>
      <c r="AN22" s="359"/>
      <c r="AO22" s="360">
        <f>SUM(AG22:AN22)</f>
        <v>0</v>
      </c>
      <c r="AP22" s="361"/>
      <c r="AQ22" s="361"/>
      <c r="AR22" s="361"/>
      <c r="AS22" s="362"/>
      <c r="AT22" s="98" t="s">
        <v>69</v>
      </c>
      <c r="AU22" s="363" t="s">
        <v>48</v>
      </c>
      <c r="AV22" s="364"/>
      <c r="AW22" s="365" t="s">
        <v>49</v>
      </c>
      <c r="AX22" s="366"/>
      <c r="AY22" s="332" t="s">
        <v>68</v>
      </c>
      <c r="AZ22" s="333"/>
      <c r="BA22" s="334" t="s">
        <v>57</v>
      </c>
      <c r="BB22" s="335"/>
    </row>
    <row r="23" spans="18:62" ht="59.25" customHeight="1">
      <c r="S23" s="336" t="s">
        <v>61</v>
      </c>
      <c r="T23" s="337"/>
      <c r="U23" s="337"/>
      <c r="V23" s="337"/>
      <c r="W23" s="338"/>
      <c r="X23" s="85">
        <f>SUM(X18+X19+X20+X21+X22)</f>
        <v>0</v>
      </c>
      <c r="Y23" s="118" t="s">
        <v>62</v>
      </c>
      <c r="Z23" s="86"/>
      <c r="AA23" s="87"/>
      <c r="AB23" s="87"/>
      <c r="AC23" s="339" t="s">
        <v>63</v>
      </c>
      <c r="AD23" s="339"/>
      <c r="AE23" s="340"/>
      <c r="AF23" s="341"/>
      <c r="AG23" s="342" t="s">
        <v>22</v>
      </c>
      <c r="AH23" s="343"/>
      <c r="AI23" s="344"/>
      <c r="AJ23" s="345" t="s">
        <v>48</v>
      </c>
      <c r="AK23" s="346"/>
      <c r="AL23" s="346"/>
      <c r="AM23" s="347"/>
      <c r="AN23" s="348" t="s">
        <v>49</v>
      </c>
      <c r="AO23" s="348"/>
      <c r="AP23" s="348"/>
      <c r="AQ23" s="349" t="s">
        <v>68</v>
      </c>
      <c r="AR23" s="350"/>
      <c r="AS23" s="351"/>
      <c r="AT23" s="96" t="s">
        <v>60</v>
      </c>
      <c r="AU23" s="352">
        <f>SUM(AQ7:AQ9)</f>
        <v>0</v>
      </c>
      <c r="AV23" s="353"/>
      <c r="AW23" s="352">
        <f>SUM(AQ10:AQ12)</f>
        <v>0</v>
      </c>
      <c r="AX23" s="354"/>
      <c r="AY23" s="352">
        <f>SUM(AQ13:AQ15)</f>
        <v>0</v>
      </c>
      <c r="AZ23" s="353"/>
      <c r="BA23" s="355">
        <f>SUM(AU23:AZ23)</f>
        <v>0</v>
      </c>
      <c r="BB23" s="356"/>
    </row>
    <row r="24" spans="18:62" ht="57" customHeight="1">
      <c r="S24" s="367"/>
      <c r="T24" s="368"/>
      <c r="U24" s="368"/>
      <c r="V24" s="368"/>
      <c r="W24" s="369"/>
      <c r="X24" s="373" t="s">
        <v>73</v>
      </c>
      <c r="Y24" s="104" t="s">
        <v>70</v>
      </c>
      <c r="Z24" s="105" t="s">
        <v>71</v>
      </c>
      <c r="AA24" s="103"/>
      <c r="AB24" s="103"/>
      <c r="AC24" s="375" t="s">
        <v>72</v>
      </c>
      <c r="AD24" s="376"/>
      <c r="AE24" s="377" t="s">
        <v>57</v>
      </c>
      <c r="AF24" s="378"/>
      <c r="AG24" s="379" t="s">
        <v>58</v>
      </c>
      <c r="AH24" s="380"/>
      <c r="AI24" s="381"/>
      <c r="AJ24" s="382">
        <f>AVERAGE(Z7:Z8)</f>
        <v>0</v>
      </c>
      <c r="AK24" s="383"/>
      <c r="AL24" s="383"/>
      <c r="AM24" s="383"/>
      <c r="AN24" s="382">
        <f>AVERAGE(Z10:Z12)</f>
        <v>0</v>
      </c>
      <c r="AO24" s="383"/>
      <c r="AP24" s="383"/>
      <c r="AQ24" s="382">
        <f>AVERAGE(Z13:Z14)</f>
        <v>0</v>
      </c>
      <c r="AR24" s="383"/>
      <c r="AS24" s="383"/>
      <c r="AT24" s="97" t="s">
        <v>64</v>
      </c>
      <c r="AU24" s="387">
        <f>SUM(AL7:AP9)</f>
        <v>0</v>
      </c>
      <c r="AV24" s="388"/>
      <c r="AW24" s="387">
        <f>SUM(AL10:AP12)</f>
        <v>0</v>
      </c>
      <c r="AX24" s="388"/>
      <c r="AY24" s="387">
        <f>SUM(AL13:AP15)</f>
        <v>0</v>
      </c>
      <c r="AZ24" s="388"/>
      <c r="BA24" s="389">
        <f>SUM(AU24:AZ24)</f>
        <v>0</v>
      </c>
      <c r="BB24" s="390"/>
    </row>
    <row r="25" spans="18:62" ht="52.5" customHeight="1">
      <c r="S25" s="370"/>
      <c r="T25" s="371"/>
      <c r="U25" s="371"/>
      <c r="V25" s="371"/>
      <c r="W25" s="372"/>
      <c r="X25" s="374"/>
      <c r="Y25" s="106">
        <f>SUM(AD7:AD9)</f>
        <v>0</v>
      </c>
      <c r="Z25" s="106">
        <f>SUM(AD10:AD11)</f>
        <v>0</v>
      </c>
      <c r="AA25" s="107"/>
      <c r="AB25" s="107"/>
      <c r="AC25" s="391">
        <f>SUM(AD13:AD14)</f>
        <v>0</v>
      </c>
      <c r="AD25" s="392"/>
      <c r="AE25" s="393">
        <f>SUM(Y25:AD25)</f>
        <v>0</v>
      </c>
      <c r="AF25" s="394"/>
      <c r="AG25" s="379" t="s">
        <v>59</v>
      </c>
      <c r="AH25" s="380"/>
      <c r="AI25" s="381"/>
      <c r="AJ25" s="382">
        <f>SUM(Z7:Z9)</f>
        <v>0</v>
      </c>
      <c r="AK25" s="383"/>
      <c r="AL25" s="383"/>
      <c r="AM25" s="383"/>
      <c r="AN25" s="382">
        <f>SUM(Z10:Z12)</f>
        <v>0</v>
      </c>
      <c r="AO25" s="383"/>
      <c r="AP25" s="383"/>
      <c r="AQ25" s="382">
        <f>SUM(Z13:Z15)</f>
        <v>0</v>
      </c>
      <c r="AR25" s="383"/>
      <c r="AS25" s="383"/>
      <c r="AT25" s="384"/>
      <c r="AU25" s="385"/>
      <c r="AV25" s="385"/>
      <c r="AW25" s="385"/>
      <c r="AX25" s="385"/>
      <c r="AY25" s="385"/>
      <c r="AZ25" s="385"/>
      <c r="BA25" s="385"/>
      <c r="BB25" s="386"/>
    </row>
    <row r="26" spans="18:62" ht="60.75" customHeight="1"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8:62" ht="30" customHeight="1"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8:62" ht="30" customHeight="1"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T28" s="4"/>
      <c r="AU28" s="4"/>
      <c r="AV28" s="4"/>
      <c r="AW28" s="4"/>
      <c r="AX28" s="4"/>
      <c r="AY28" s="4"/>
      <c r="AZ28" s="4"/>
      <c r="BA28" s="4"/>
    </row>
    <row r="29" spans="18:62" ht="30" customHeight="1"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T29" s="4"/>
      <c r="AU29" s="4"/>
      <c r="AV29" s="4"/>
      <c r="AW29" s="4"/>
      <c r="AX29" s="4"/>
      <c r="AY29" s="4"/>
      <c r="AZ29" s="4"/>
      <c r="BA29" s="4"/>
    </row>
    <row r="30" spans="18:62" ht="30" customHeight="1">
      <c r="R30" s="3"/>
      <c r="S30" s="3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T30" s="4"/>
      <c r="AU30" s="4"/>
      <c r="AV30" s="4"/>
      <c r="AW30" s="4"/>
      <c r="AX30" s="4"/>
      <c r="AY30" s="4"/>
      <c r="AZ30" s="4"/>
      <c r="BA30" s="4"/>
    </row>
    <row r="31" spans="18:62" ht="30" customHeight="1">
      <c r="R31" s="3"/>
      <c r="S31" s="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T31" s="4"/>
      <c r="AU31" s="4"/>
      <c r="AV31" s="4"/>
      <c r="AW31" s="4"/>
      <c r="AX31" s="4"/>
      <c r="AY31" s="4"/>
      <c r="AZ31" s="4"/>
      <c r="BA31" s="4"/>
    </row>
    <row r="32" spans="18:62" ht="15" customHeight="1">
      <c r="S32" s="3"/>
      <c r="BJ32" s="4">
        <v>8</v>
      </c>
    </row>
  </sheetData>
  <mergeCells count="145">
    <mergeCell ref="S24:W25"/>
    <mergeCell ref="X24:X25"/>
    <mergeCell ref="AC24:AD24"/>
    <mergeCell ref="AE24:AF24"/>
    <mergeCell ref="AG24:AI24"/>
    <mergeCell ref="AJ24:AM24"/>
    <mergeCell ref="AN24:AP24"/>
    <mergeCell ref="AQ25:AS25"/>
    <mergeCell ref="AT25:BB25"/>
    <mergeCell ref="AQ24:AS24"/>
    <mergeCell ref="AU24:AV24"/>
    <mergeCell ref="AW24:AX24"/>
    <mergeCell ref="AY24:AZ24"/>
    <mergeCell ref="BA24:BB24"/>
    <mergeCell ref="AC25:AD25"/>
    <mergeCell ref="AE25:AF25"/>
    <mergeCell ref="AG25:AI25"/>
    <mergeCell ref="AJ25:AM25"/>
    <mergeCell ref="AN25:AP25"/>
    <mergeCell ref="AY22:AZ22"/>
    <mergeCell ref="BA22:BB22"/>
    <mergeCell ref="S23:W23"/>
    <mergeCell ref="AC23:AD23"/>
    <mergeCell ref="AE23:AF23"/>
    <mergeCell ref="AG23:AI23"/>
    <mergeCell ref="AJ23:AM23"/>
    <mergeCell ref="AN23:AP23"/>
    <mergeCell ref="AQ23:AS23"/>
    <mergeCell ref="AU23:AV23"/>
    <mergeCell ref="AW23:AX23"/>
    <mergeCell ref="AY23:AZ23"/>
    <mergeCell ref="BA23:BB23"/>
    <mergeCell ref="T22:U22"/>
    <mergeCell ref="V22:W22"/>
    <mergeCell ref="Z22:AF22"/>
    <mergeCell ref="AG22:AH22"/>
    <mergeCell ref="AI22:AJ22"/>
    <mergeCell ref="AL22:AN22"/>
    <mergeCell ref="AO22:AS22"/>
    <mergeCell ref="AU22:AV22"/>
    <mergeCell ref="AW22:AX22"/>
    <mergeCell ref="AO20:AS20"/>
    <mergeCell ref="AU20:AV20"/>
    <mergeCell ref="BA20:BB20"/>
    <mergeCell ref="T21:U21"/>
    <mergeCell ref="V21:W21"/>
    <mergeCell ref="Z21:AF21"/>
    <mergeCell ref="AG21:AS21"/>
    <mergeCell ref="AT21:AV21"/>
    <mergeCell ref="AW21:AX21"/>
    <mergeCell ref="AY21:AZ21"/>
    <mergeCell ref="T20:U20"/>
    <mergeCell ref="V20:W20"/>
    <mergeCell ref="Z20:AF20"/>
    <mergeCell ref="AG20:AH20"/>
    <mergeCell ref="AI20:AJ20"/>
    <mergeCell ref="AL20:AN20"/>
    <mergeCell ref="BA21:BB21"/>
    <mergeCell ref="AU18:AV18"/>
    <mergeCell ref="BA18:BB18"/>
    <mergeCell ref="T19:U19"/>
    <mergeCell ref="V19:W19"/>
    <mergeCell ref="Z19:AF19"/>
    <mergeCell ref="AG19:AS19"/>
    <mergeCell ref="AU19:AV19"/>
    <mergeCell ref="BA19:BB19"/>
    <mergeCell ref="AO17:AS17"/>
    <mergeCell ref="AU17:AV17"/>
    <mergeCell ref="BA17:BB17"/>
    <mergeCell ref="T18:U18"/>
    <mergeCell ref="V18:W18"/>
    <mergeCell ref="Z18:AF18"/>
    <mergeCell ref="AG18:AH18"/>
    <mergeCell ref="AI18:AJ18"/>
    <mergeCell ref="AL18:AN18"/>
    <mergeCell ref="AO18:AS18"/>
    <mergeCell ref="T17:U17"/>
    <mergeCell ref="V17:W17"/>
    <mergeCell ref="Z17:AF17"/>
    <mergeCell ref="AG17:AH17"/>
    <mergeCell ref="AI17:AJ17"/>
    <mergeCell ref="AL17:AN17"/>
    <mergeCell ref="S16:AF16"/>
    <mergeCell ref="AG16:AS16"/>
    <mergeCell ref="AT16:BB16"/>
    <mergeCell ref="AU5:AU6"/>
    <mergeCell ref="AV5:AV6"/>
    <mergeCell ref="AW5:AW6"/>
    <mergeCell ref="AX5:AX6"/>
    <mergeCell ref="AY5:AY6"/>
    <mergeCell ref="AZ5:AZ6"/>
    <mergeCell ref="AH5:AH6"/>
    <mergeCell ref="AI5:AI6"/>
    <mergeCell ref="AJ5:AJ6"/>
    <mergeCell ref="AK5:AR5"/>
    <mergeCell ref="AS5:AS6"/>
    <mergeCell ref="AT5:AT6"/>
    <mergeCell ref="AB5:AB6"/>
    <mergeCell ref="AC5:AC6"/>
    <mergeCell ref="AD5:AD6"/>
    <mergeCell ref="AE5:AE6"/>
    <mergeCell ref="S4:Z4"/>
    <mergeCell ref="AA4:AB4"/>
    <mergeCell ref="AC4:AD4"/>
    <mergeCell ref="AE4:AJ4"/>
    <mergeCell ref="AL4:AQ4"/>
    <mergeCell ref="AS4:AW4"/>
    <mergeCell ref="T7:T9"/>
    <mergeCell ref="T10:T12"/>
    <mergeCell ref="T13:T15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Q1:AT1"/>
    <mergeCell ref="AU1:AW1"/>
    <mergeCell ref="AF5:AF6"/>
    <mergeCell ref="AG5:AG6"/>
    <mergeCell ref="AX1:BB3"/>
    <mergeCell ref="AC2:AE2"/>
    <mergeCell ref="AF2:AH2"/>
    <mergeCell ref="AI2:AL2"/>
    <mergeCell ref="AM2:AP2"/>
    <mergeCell ref="AQ2:AT2"/>
    <mergeCell ref="AU2:AW2"/>
    <mergeCell ref="AC3:AE3"/>
    <mergeCell ref="AQ3:AT3"/>
    <mergeCell ref="AU3:AW3"/>
    <mergeCell ref="AX4:BB4"/>
    <mergeCell ref="BA5:BA6"/>
    <mergeCell ref="BB5:BB6"/>
    <mergeCell ref="S1:W3"/>
    <mergeCell ref="X1:Y3"/>
    <mergeCell ref="AC1:AE1"/>
    <mergeCell ref="AF1:AH1"/>
    <mergeCell ref="AI1:AL1"/>
    <mergeCell ref="AM1:AP1"/>
    <mergeCell ref="AF3:AH3"/>
    <mergeCell ref="AI3:AL3"/>
    <mergeCell ref="AM3:AP3"/>
  </mergeCells>
  <conditionalFormatting sqref="Z7:Z15">
    <cfRule type="cellIs" dxfId="77" priority="3" operator="greaterThan">
      <formula>0.167361111111111</formula>
    </cfRule>
    <cfRule type="cellIs" dxfId="76" priority="4" operator="greaterThan">
      <formula>0.15625</formula>
    </cfRule>
  </conditionalFormatting>
  <conditionalFormatting sqref="AA7:AJ15">
    <cfRule type="cellIs" dxfId="75" priority="11" operator="between">
      <formula>1700</formula>
      <formula>1710</formula>
    </cfRule>
    <cfRule type="cellIs" dxfId="74" priority="12" operator="between">
      <formula>1691</formula>
      <formula>1700</formula>
    </cfRule>
  </conditionalFormatting>
  <conditionalFormatting sqref="AS7:AS15">
    <cfRule type="expression" dxfId="73" priority="13">
      <formula>IF(($AS7/$AX7)*1000&gt;$AY$1,1,0)</formula>
    </cfRule>
  </conditionalFormatting>
  <conditionalFormatting sqref="AT7:AW15">
    <cfRule type="cellIs" dxfId="72" priority="5" operator="greaterThan">
      <formula>10</formula>
    </cfRule>
  </conditionalFormatting>
  <conditionalFormatting sqref="AX7:AX15">
    <cfRule type="cellIs" dxfId="71" priority="2" operator="between">
      <formula>16000</formula>
      <formula>17200</formula>
    </cfRule>
    <cfRule type="cellIs" dxfId="70" priority="6" operator="lessThan">
      <formula>15800</formula>
    </cfRule>
    <cfRule type="cellIs" dxfId="69" priority="7" operator="greaterThan">
      <formula>18000</formula>
    </cfRule>
  </conditionalFormatting>
  <conditionalFormatting sqref="AZ7:BA15">
    <cfRule type="cellIs" dxfId="68" priority="10" operator="greaterThan">
      <formula>0</formula>
    </cfRule>
  </conditionalFormatting>
  <conditionalFormatting sqref="BB7:BB15">
    <cfRule type="cellIs" dxfId="67" priority="1" operator="between">
      <formula>16000</formula>
      <formula>17200</formula>
    </cfRule>
    <cfRule type="cellIs" dxfId="66" priority="8" operator="greaterThan">
      <formula>18000</formula>
    </cfRule>
    <cfRule type="cellIs" dxfId="65" priority="9" operator="lessThan">
      <formula>15800</formula>
    </cfRule>
  </conditionalFormatting>
  <printOptions horizontalCentered="1" verticalCentered="1"/>
  <pageMargins left="0" right="0" top="0" bottom="0.21" header="0" footer="0"/>
  <pageSetup paperSize="9" scale="42" orientation="landscape" cellComments="asDisplayed" r:id="rId1"/>
  <headerFooter differentFirst="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C3117-5993-4BC3-9B52-BA8FE3096451}">
  <sheetPr>
    <tabColor theme="5"/>
    <pageSetUpPr fitToPage="1"/>
  </sheetPr>
  <dimension ref="R1:BJ32"/>
  <sheetViews>
    <sheetView showGridLines="0" rightToLeft="1" topLeftCell="T9" zoomScale="55" zoomScaleNormal="55" zoomScalePageLayoutView="40" workbookViewId="0">
      <selection activeCell="Z20" sqref="Y18:AF20"/>
    </sheetView>
  </sheetViews>
  <sheetFormatPr defaultColWidth="9.140625" defaultRowHeight="15"/>
  <cols>
    <col min="1" max="18" width="9.140625" style="4"/>
    <col min="19" max="19" width="5.7109375" style="4" customWidth="1"/>
    <col min="20" max="20" width="9.5703125" style="3" customWidth="1"/>
    <col min="21" max="21" width="10.7109375" style="3" customWidth="1"/>
    <col min="22" max="22" width="9.42578125" style="88" customWidth="1"/>
    <col min="23" max="23" width="8.85546875" style="88" customWidth="1"/>
    <col min="24" max="24" width="14.42578125" style="3" customWidth="1"/>
    <col min="25" max="25" width="14.7109375" style="3" customWidth="1"/>
    <col min="26" max="26" width="15.140625" style="88" customWidth="1"/>
    <col min="27" max="27" width="9.5703125" style="3" hidden="1" customWidth="1"/>
    <col min="28" max="28" width="10" style="3" hidden="1" customWidth="1"/>
    <col min="29" max="29" width="8.140625" style="3" customWidth="1"/>
    <col min="30" max="30" width="8.5703125" style="3" customWidth="1"/>
    <col min="31" max="31" width="12.42578125" style="3" customWidth="1"/>
    <col min="32" max="32" width="10.5703125" style="3" customWidth="1"/>
    <col min="33" max="33" width="9.5703125" style="3" customWidth="1"/>
    <col min="34" max="34" width="11.42578125" style="3" customWidth="1"/>
    <col min="35" max="35" width="9.42578125" style="3" customWidth="1"/>
    <col min="36" max="36" width="9.28515625" style="3" customWidth="1"/>
    <col min="37" max="37" width="6.7109375" style="3" hidden="1" customWidth="1"/>
    <col min="38" max="42" width="6.7109375" style="3" customWidth="1"/>
    <col min="43" max="43" width="8.140625" style="3" customWidth="1"/>
    <col min="44" max="44" width="6.7109375" style="3" hidden="1" customWidth="1"/>
    <col min="45" max="45" width="10.42578125" style="3" customWidth="1"/>
    <col min="46" max="46" width="8.7109375" style="3" customWidth="1"/>
    <col min="47" max="47" width="8.5703125" style="3" customWidth="1"/>
    <col min="48" max="48" width="8.7109375" style="3" customWidth="1"/>
    <col min="49" max="49" width="9.5703125" style="3" customWidth="1"/>
    <col min="50" max="50" width="12.42578125" style="88" customWidth="1"/>
    <col min="51" max="51" width="11.85546875" style="3" customWidth="1"/>
    <col min="52" max="52" width="11.5703125" style="3" customWidth="1"/>
    <col min="53" max="53" width="13.42578125" style="3" customWidth="1"/>
    <col min="54" max="54" width="13.5703125" style="4" customWidth="1"/>
    <col min="55" max="57" width="9.140625" style="4"/>
    <col min="58" max="58" width="25" style="4" customWidth="1"/>
    <col min="59" max="61" width="9.140625" style="4"/>
    <col min="62" max="62" width="23.5703125" style="4" customWidth="1"/>
    <col min="63" max="16384" width="9.140625" style="4"/>
  </cols>
  <sheetData>
    <row r="1" spans="19:54" ht="36.75" customHeight="1" thickBot="1">
      <c r="S1" s="180"/>
      <c r="T1" s="181"/>
      <c r="U1" s="181"/>
      <c r="V1" s="181"/>
      <c r="W1" s="181"/>
      <c r="X1" s="182" t="s">
        <v>0</v>
      </c>
      <c r="Y1" s="183"/>
      <c r="Z1" s="1" t="s">
        <v>1</v>
      </c>
      <c r="AA1" s="2"/>
      <c r="AC1" s="188" t="s">
        <v>2</v>
      </c>
      <c r="AD1" s="189"/>
      <c r="AE1" s="189"/>
      <c r="AF1" s="190" t="s">
        <v>75</v>
      </c>
      <c r="AG1" s="191"/>
      <c r="AH1" s="192"/>
      <c r="AI1" s="193" t="s">
        <v>3</v>
      </c>
      <c r="AJ1" s="194"/>
      <c r="AK1" s="194"/>
      <c r="AL1" s="195"/>
      <c r="AM1" s="196" t="s">
        <v>76</v>
      </c>
      <c r="AN1" s="197"/>
      <c r="AO1" s="197"/>
      <c r="AP1" s="198"/>
      <c r="AQ1" s="203" t="s">
        <v>4</v>
      </c>
      <c r="AR1" s="204"/>
      <c r="AS1" s="204"/>
      <c r="AT1" s="205"/>
      <c r="AU1" s="206" t="s">
        <v>74</v>
      </c>
      <c r="AV1" s="207"/>
      <c r="AW1" s="208"/>
      <c r="AX1" s="211" t="s">
        <v>98</v>
      </c>
      <c r="AY1" s="211"/>
      <c r="AZ1" s="211"/>
      <c r="BA1" s="211"/>
      <c r="BB1" s="211"/>
    </row>
    <row r="2" spans="19:54" ht="36.75" customHeight="1" thickBot="1">
      <c r="S2" s="180"/>
      <c r="T2" s="181"/>
      <c r="U2" s="181"/>
      <c r="V2" s="181"/>
      <c r="W2" s="181"/>
      <c r="X2" s="184"/>
      <c r="Y2" s="185"/>
      <c r="Z2" s="5" t="s">
        <v>5</v>
      </c>
      <c r="AA2" s="89"/>
      <c r="AC2" s="188" t="s">
        <v>2</v>
      </c>
      <c r="AD2" s="189"/>
      <c r="AE2" s="212"/>
      <c r="AF2" s="190" t="s">
        <v>78</v>
      </c>
      <c r="AG2" s="191"/>
      <c r="AH2" s="192"/>
      <c r="AI2" s="193" t="s">
        <v>3</v>
      </c>
      <c r="AJ2" s="194"/>
      <c r="AK2" s="194"/>
      <c r="AL2" s="195"/>
      <c r="AM2" s="202" t="s">
        <v>79</v>
      </c>
      <c r="AN2" s="202"/>
      <c r="AO2" s="202"/>
      <c r="AP2" s="202"/>
      <c r="AQ2" s="203" t="s">
        <v>4</v>
      </c>
      <c r="AR2" s="204"/>
      <c r="AS2" s="204"/>
      <c r="AT2" s="205"/>
      <c r="AU2" s="213" t="s">
        <v>77</v>
      </c>
      <c r="AV2" s="213"/>
      <c r="AW2" s="213"/>
      <c r="AX2" s="211"/>
      <c r="AY2" s="211"/>
      <c r="AZ2" s="211"/>
      <c r="BA2" s="211"/>
      <c r="BB2" s="211"/>
    </row>
    <row r="3" spans="19:54" ht="38.25" customHeight="1" thickBot="1">
      <c r="S3" s="181"/>
      <c r="T3" s="181"/>
      <c r="U3" s="181"/>
      <c r="V3" s="181"/>
      <c r="W3" s="181"/>
      <c r="X3" s="186"/>
      <c r="Y3" s="187"/>
      <c r="Z3" s="90" t="s">
        <v>65</v>
      </c>
      <c r="AA3" s="6"/>
      <c r="AC3" s="188" t="s">
        <v>6</v>
      </c>
      <c r="AD3" s="189"/>
      <c r="AE3" s="212"/>
      <c r="AF3" s="190" t="s">
        <v>81</v>
      </c>
      <c r="AG3" s="191"/>
      <c r="AH3" s="192"/>
      <c r="AI3" s="199" t="s">
        <v>7</v>
      </c>
      <c r="AJ3" s="200"/>
      <c r="AK3" s="200"/>
      <c r="AL3" s="201"/>
      <c r="AM3" s="202" t="s">
        <v>82</v>
      </c>
      <c r="AN3" s="202"/>
      <c r="AO3" s="202"/>
      <c r="AP3" s="202"/>
      <c r="AQ3" s="203" t="s">
        <v>4</v>
      </c>
      <c r="AR3" s="204"/>
      <c r="AS3" s="204"/>
      <c r="AT3" s="214"/>
      <c r="AU3" s="215" t="s">
        <v>80</v>
      </c>
      <c r="AV3" s="216"/>
      <c r="AW3" s="217"/>
      <c r="AX3" s="211"/>
      <c r="AY3" s="211"/>
      <c r="AZ3" s="211"/>
      <c r="BA3" s="211"/>
      <c r="BB3" s="211"/>
    </row>
    <row r="4" spans="19:54" ht="34.5" customHeight="1" thickBot="1">
      <c r="S4" s="225" t="s">
        <v>8</v>
      </c>
      <c r="T4" s="226"/>
      <c r="U4" s="226"/>
      <c r="V4" s="226"/>
      <c r="W4" s="226"/>
      <c r="X4" s="227"/>
      <c r="Y4" s="227"/>
      <c r="Z4" s="228"/>
      <c r="AA4" s="229" t="s">
        <v>9</v>
      </c>
      <c r="AB4" s="230"/>
      <c r="AC4" s="231" t="s">
        <v>10</v>
      </c>
      <c r="AD4" s="232"/>
      <c r="AE4" s="233" t="s">
        <v>11</v>
      </c>
      <c r="AF4" s="234"/>
      <c r="AG4" s="234"/>
      <c r="AH4" s="234"/>
      <c r="AI4" s="234"/>
      <c r="AJ4" s="235"/>
      <c r="AK4" s="7"/>
      <c r="AL4" s="236" t="s">
        <v>12</v>
      </c>
      <c r="AM4" s="237"/>
      <c r="AN4" s="237"/>
      <c r="AO4" s="237"/>
      <c r="AP4" s="237"/>
      <c r="AQ4" s="237"/>
      <c r="AR4" s="8"/>
      <c r="AS4" s="238" t="s">
        <v>13</v>
      </c>
      <c r="AT4" s="239"/>
      <c r="AU4" s="239"/>
      <c r="AV4" s="239"/>
      <c r="AW4" s="240"/>
      <c r="AX4" s="218" t="s">
        <v>14</v>
      </c>
      <c r="AY4" s="219"/>
      <c r="AZ4" s="219"/>
      <c r="BA4" s="219"/>
      <c r="BB4" s="220"/>
    </row>
    <row r="5" spans="19:54" ht="52.5" customHeight="1">
      <c r="S5" s="246" t="s">
        <v>15</v>
      </c>
      <c r="T5" s="248" t="s">
        <v>16</v>
      </c>
      <c r="U5" s="248" t="s">
        <v>17</v>
      </c>
      <c r="V5" s="248" t="s">
        <v>18</v>
      </c>
      <c r="W5" s="248" t="s">
        <v>19</v>
      </c>
      <c r="X5" s="248" t="s">
        <v>20</v>
      </c>
      <c r="Y5" s="248" t="s">
        <v>21</v>
      </c>
      <c r="Z5" s="250" t="s">
        <v>22</v>
      </c>
      <c r="AA5" s="252" t="s">
        <v>23</v>
      </c>
      <c r="AB5" s="270" t="s">
        <v>9</v>
      </c>
      <c r="AC5" s="272" t="s">
        <v>24</v>
      </c>
      <c r="AD5" s="272" t="s">
        <v>25</v>
      </c>
      <c r="AE5" s="274" t="s">
        <v>26</v>
      </c>
      <c r="AF5" s="209" t="s">
        <v>27</v>
      </c>
      <c r="AG5" s="209" t="s">
        <v>28</v>
      </c>
      <c r="AH5" s="263" t="s">
        <v>29</v>
      </c>
      <c r="AI5" s="263" t="s">
        <v>30</v>
      </c>
      <c r="AJ5" s="265" t="s">
        <v>31</v>
      </c>
      <c r="AK5" s="267" t="s">
        <v>32</v>
      </c>
      <c r="AL5" s="268"/>
      <c r="AM5" s="268"/>
      <c r="AN5" s="268"/>
      <c r="AO5" s="268"/>
      <c r="AP5" s="268"/>
      <c r="AQ5" s="268"/>
      <c r="AR5" s="269"/>
      <c r="AS5" s="259" t="s">
        <v>33</v>
      </c>
      <c r="AT5" s="259" t="s">
        <v>34</v>
      </c>
      <c r="AU5" s="259" t="s">
        <v>35</v>
      </c>
      <c r="AV5" s="259" t="s">
        <v>66</v>
      </c>
      <c r="AW5" s="261" t="s">
        <v>36</v>
      </c>
      <c r="AX5" s="252" t="s">
        <v>37</v>
      </c>
      <c r="AY5" s="221" t="s">
        <v>38</v>
      </c>
      <c r="AZ5" s="221" t="s">
        <v>39</v>
      </c>
      <c r="BA5" s="221" t="s">
        <v>40</v>
      </c>
      <c r="BB5" s="223" t="s">
        <v>41</v>
      </c>
    </row>
    <row r="6" spans="19:54" ht="27.95" customHeight="1" thickBot="1">
      <c r="S6" s="247"/>
      <c r="T6" s="249"/>
      <c r="U6" s="249"/>
      <c r="V6" s="249"/>
      <c r="W6" s="249"/>
      <c r="X6" s="249"/>
      <c r="Y6" s="249"/>
      <c r="Z6" s="251"/>
      <c r="AA6" s="253"/>
      <c r="AB6" s="271"/>
      <c r="AC6" s="273"/>
      <c r="AD6" s="273"/>
      <c r="AE6" s="275"/>
      <c r="AF6" s="210"/>
      <c r="AG6" s="210"/>
      <c r="AH6" s="264"/>
      <c r="AI6" s="264"/>
      <c r="AJ6" s="266"/>
      <c r="AK6" s="9">
        <v>1</v>
      </c>
      <c r="AL6" s="10">
        <v>2</v>
      </c>
      <c r="AM6" s="10">
        <v>3</v>
      </c>
      <c r="AN6" s="10">
        <v>4</v>
      </c>
      <c r="AO6" s="10">
        <v>5</v>
      </c>
      <c r="AP6" s="10">
        <v>6</v>
      </c>
      <c r="AQ6" s="10">
        <v>12</v>
      </c>
      <c r="AR6" s="11"/>
      <c r="AS6" s="260"/>
      <c r="AT6" s="260"/>
      <c r="AU6" s="260"/>
      <c r="AV6" s="260"/>
      <c r="AW6" s="262"/>
      <c r="AX6" s="253"/>
      <c r="AY6" s="222"/>
      <c r="AZ6" s="222"/>
      <c r="BA6" s="222"/>
      <c r="BB6" s="224"/>
    </row>
    <row r="7" spans="19:54" s="34" customFormat="1" ht="48" customHeight="1" thickBot="1">
      <c r="S7" s="12">
        <v>1</v>
      </c>
      <c r="T7" s="241" t="s">
        <v>1</v>
      </c>
      <c r="U7" s="13"/>
      <c r="V7" s="14"/>
      <c r="W7" s="15"/>
      <c r="X7" s="16"/>
      <c r="Y7" s="17"/>
      <c r="Z7" s="18">
        <f t="shared" ref="Z7:Z15" si="0">IF(Y7&lt;X7,1+Y7-X7,Y7-X7)</f>
        <v>0</v>
      </c>
      <c r="AA7" s="19"/>
      <c r="AB7" s="20"/>
      <c r="AC7" s="21"/>
      <c r="AD7" s="100"/>
      <c r="AE7" s="22"/>
      <c r="AF7" s="23"/>
      <c r="AG7" s="23"/>
      <c r="AH7" s="23"/>
      <c r="AI7" s="23"/>
      <c r="AJ7" s="24"/>
      <c r="AK7" s="25"/>
      <c r="AL7" s="26"/>
      <c r="AM7" s="26"/>
      <c r="AN7" s="26"/>
      <c r="AO7" s="26"/>
      <c r="AP7" s="26"/>
      <c r="AQ7" s="26"/>
      <c r="AR7" s="27"/>
      <c r="AS7" s="28"/>
      <c r="AT7" s="13"/>
      <c r="AU7" s="13"/>
      <c r="AV7" s="13"/>
      <c r="AW7" s="29"/>
      <c r="AX7" s="30">
        <f t="shared" ref="AX7:AX15" si="1">SUM(AY7:BB7)</f>
        <v>0</v>
      </c>
      <c r="AY7" s="31">
        <v>0</v>
      </c>
      <c r="AZ7" s="32">
        <v>0</v>
      </c>
      <c r="BA7" s="31">
        <v>0</v>
      </c>
      <c r="BB7" s="33">
        <f t="shared" ref="BB7:BB15" si="2">SUM(($AQ$6*AQ7+$AP$6*AP7+$AN$6*AN7+$AM$6*$AM7+$AL$6*AL7+$AK$6*AK7+$AO$6*AO7+$AR$6*AR7)*175)</f>
        <v>0</v>
      </c>
    </row>
    <row r="8" spans="19:54" s="34" customFormat="1" ht="48" customHeight="1" thickBot="1">
      <c r="S8" s="12">
        <v>2</v>
      </c>
      <c r="T8" s="242"/>
      <c r="U8" s="35"/>
      <c r="V8" s="156"/>
      <c r="W8" s="156"/>
      <c r="X8" s="36"/>
      <c r="Y8" s="36"/>
      <c r="Z8" s="37">
        <f t="shared" si="0"/>
        <v>0</v>
      </c>
      <c r="AA8" s="38"/>
      <c r="AB8" s="39"/>
      <c r="AC8" s="147"/>
      <c r="AD8" s="101"/>
      <c r="AE8" s="41"/>
      <c r="AF8" s="42"/>
      <c r="AG8" s="42"/>
      <c r="AH8" s="42"/>
      <c r="AI8" s="42"/>
      <c r="AJ8" s="43"/>
      <c r="AK8" s="44"/>
      <c r="AL8" s="45"/>
      <c r="AM8" s="45"/>
      <c r="AN8" s="45"/>
      <c r="AO8" s="45"/>
      <c r="AP8" s="45"/>
      <c r="AQ8" s="45"/>
      <c r="AR8" s="46"/>
      <c r="AS8" s="47"/>
      <c r="AT8" s="35"/>
      <c r="AU8" s="35"/>
      <c r="AV8" s="35"/>
      <c r="AW8" s="48"/>
      <c r="AX8" s="49">
        <f t="shared" si="1"/>
        <v>0</v>
      </c>
      <c r="AY8" s="50">
        <v>0</v>
      </c>
      <c r="AZ8" s="51">
        <v>0</v>
      </c>
      <c r="BA8" s="52">
        <v>0</v>
      </c>
      <c r="BB8" s="53">
        <f t="shared" si="2"/>
        <v>0</v>
      </c>
    </row>
    <row r="9" spans="19:54" s="34" customFormat="1" ht="48" customHeight="1" thickBot="1">
      <c r="S9" s="12">
        <v>3</v>
      </c>
      <c r="T9" s="242"/>
      <c r="U9" s="35"/>
      <c r="V9" s="156"/>
      <c r="W9" s="156"/>
      <c r="X9" s="36"/>
      <c r="Y9" s="36"/>
      <c r="Z9" s="37">
        <f t="shared" si="0"/>
        <v>0</v>
      </c>
      <c r="AA9" s="38"/>
      <c r="AB9" s="39"/>
      <c r="AC9" s="40"/>
      <c r="AD9" s="101"/>
      <c r="AE9" s="41"/>
      <c r="AF9" s="42"/>
      <c r="AG9" s="42"/>
      <c r="AH9" s="42"/>
      <c r="AI9" s="42"/>
      <c r="AJ9" s="43"/>
      <c r="AK9" s="44"/>
      <c r="AL9" s="45"/>
      <c r="AM9" s="45"/>
      <c r="AN9" s="45"/>
      <c r="AO9" s="45"/>
      <c r="AP9" s="45"/>
      <c r="AQ9" s="45"/>
      <c r="AR9" s="46"/>
      <c r="AS9" s="47"/>
      <c r="AT9" s="35"/>
      <c r="AU9" s="35"/>
      <c r="AV9" s="35"/>
      <c r="AW9" s="48"/>
      <c r="AX9" s="49">
        <f t="shared" si="1"/>
        <v>0</v>
      </c>
      <c r="AY9" s="51">
        <v>0</v>
      </c>
      <c r="AZ9" s="52">
        <v>0</v>
      </c>
      <c r="BA9" s="51">
        <v>0</v>
      </c>
      <c r="BB9" s="53">
        <f t="shared" si="2"/>
        <v>0</v>
      </c>
    </row>
    <row r="10" spans="19:54" s="34" customFormat="1" ht="48" customHeight="1" thickBot="1">
      <c r="S10" s="12">
        <v>4</v>
      </c>
      <c r="T10" s="243" t="s">
        <v>5</v>
      </c>
      <c r="U10" s="35"/>
      <c r="V10" s="156"/>
      <c r="W10" s="156"/>
      <c r="X10" s="36"/>
      <c r="Y10" s="36"/>
      <c r="Z10" s="37">
        <f t="shared" si="0"/>
        <v>0</v>
      </c>
      <c r="AA10" s="38"/>
      <c r="AB10" s="39"/>
      <c r="AC10" s="147"/>
      <c r="AD10" s="101"/>
      <c r="AE10" s="41"/>
      <c r="AF10" s="42"/>
      <c r="AG10" s="42"/>
      <c r="AH10" s="42"/>
      <c r="AI10" s="42"/>
      <c r="AJ10" s="43"/>
      <c r="AK10" s="44"/>
      <c r="AL10" s="45"/>
      <c r="AM10" s="45"/>
      <c r="AN10" s="45"/>
      <c r="AO10" s="45"/>
      <c r="AP10" s="45"/>
      <c r="AQ10" s="45"/>
      <c r="AR10" s="46"/>
      <c r="AS10" s="47"/>
      <c r="AT10" s="35"/>
      <c r="AU10" s="35"/>
      <c r="AV10" s="35"/>
      <c r="AW10" s="48"/>
      <c r="AX10" s="49">
        <f t="shared" si="1"/>
        <v>0</v>
      </c>
      <c r="AY10" s="51">
        <v>0</v>
      </c>
      <c r="AZ10" s="52">
        <v>0</v>
      </c>
      <c r="BA10" s="51">
        <v>0</v>
      </c>
      <c r="BB10" s="53">
        <f t="shared" si="2"/>
        <v>0</v>
      </c>
    </row>
    <row r="11" spans="19:54" s="34" customFormat="1" ht="48" customHeight="1" thickBot="1">
      <c r="S11" s="12">
        <v>5</v>
      </c>
      <c r="T11" s="243"/>
      <c r="U11" s="35"/>
      <c r="V11" s="156"/>
      <c r="W11" s="156"/>
      <c r="X11" s="36"/>
      <c r="Y11" s="120"/>
      <c r="Z11" s="37">
        <f t="shared" si="0"/>
        <v>0</v>
      </c>
      <c r="AA11" s="38"/>
      <c r="AB11" s="39"/>
      <c r="AC11" s="147"/>
      <c r="AD11" s="101"/>
      <c r="AE11" s="41"/>
      <c r="AF11" s="42"/>
      <c r="AG11" s="42"/>
      <c r="AH11" s="42"/>
      <c r="AI11" s="42"/>
      <c r="AJ11" s="43"/>
      <c r="AK11" s="44"/>
      <c r="AL11" s="45"/>
      <c r="AM11" s="45"/>
      <c r="AN11" s="45"/>
      <c r="AO11" s="45"/>
      <c r="AP11" s="45"/>
      <c r="AQ11" s="45"/>
      <c r="AR11" s="46"/>
      <c r="AS11" s="47"/>
      <c r="AT11" s="35"/>
      <c r="AU11" s="35"/>
      <c r="AV11" s="35"/>
      <c r="AW11" s="48"/>
      <c r="AX11" s="49">
        <f t="shared" si="1"/>
        <v>0</v>
      </c>
      <c r="AY11" s="50">
        <v>0</v>
      </c>
      <c r="AZ11" s="51">
        <v>0</v>
      </c>
      <c r="BA11" s="52">
        <v>0</v>
      </c>
      <c r="BB11" s="53">
        <f t="shared" si="2"/>
        <v>0</v>
      </c>
    </row>
    <row r="12" spans="19:54" s="34" customFormat="1" ht="48" customHeight="1" thickBot="1">
      <c r="S12" s="12">
        <v>10</v>
      </c>
      <c r="T12" s="243"/>
      <c r="U12" s="13"/>
      <c r="V12" s="14"/>
      <c r="W12" s="14"/>
      <c r="X12" s="54"/>
      <c r="Y12" s="54"/>
      <c r="Z12" s="55">
        <f t="shared" si="0"/>
        <v>0</v>
      </c>
      <c r="AA12" s="19"/>
      <c r="AB12" s="20"/>
      <c r="AC12" s="149"/>
      <c r="AD12" s="100"/>
      <c r="AE12" s="22"/>
      <c r="AF12" s="23"/>
      <c r="AG12" s="23"/>
      <c r="AH12" s="23"/>
      <c r="AI12" s="23"/>
      <c r="AJ12" s="24"/>
      <c r="AK12" s="25"/>
      <c r="AL12" s="26"/>
      <c r="AM12" s="26"/>
      <c r="AN12" s="26"/>
      <c r="AO12" s="26"/>
      <c r="AP12" s="26"/>
      <c r="AQ12" s="26"/>
      <c r="AR12" s="27"/>
      <c r="AS12" s="28"/>
      <c r="AT12" s="13"/>
      <c r="AU12" s="13"/>
      <c r="AV12" s="13"/>
      <c r="AW12" s="29"/>
      <c r="AX12" s="30">
        <f t="shared" si="1"/>
        <v>0</v>
      </c>
      <c r="AY12" s="31">
        <v>0</v>
      </c>
      <c r="AZ12" s="32">
        <v>0</v>
      </c>
      <c r="BA12" s="31">
        <v>0</v>
      </c>
      <c r="BB12" s="56">
        <f t="shared" si="2"/>
        <v>0</v>
      </c>
    </row>
    <row r="13" spans="19:54" s="34" customFormat="1" ht="48" customHeight="1" thickBot="1">
      <c r="S13" s="12">
        <v>11</v>
      </c>
      <c r="T13" s="244" t="s">
        <v>65</v>
      </c>
      <c r="U13" s="35"/>
      <c r="V13" s="156"/>
      <c r="W13" s="156"/>
      <c r="X13" s="36"/>
      <c r="Y13" s="36"/>
      <c r="Z13" s="37">
        <f t="shared" si="0"/>
        <v>0</v>
      </c>
      <c r="AA13" s="38"/>
      <c r="AB13" s="39"/>
      <c r="AC13" s="147"/>
      <c r="AD13" s="101"/>
      <c r="AE13" s="41"/>
      <c r="AF13" s="42"/>
      <c r="AG13" s="42"/>
      <c r="AH13" s="42"/>
      <c r="AI13" s="42"/>
      <c r="AJ13" s="43"/>
      <c r="AK13" s="44"/>
      <c r="AL13" s="45"/>
      <c r="AM13" s="45"/>
      <c r="AN13" s="45"/>
      <c r="AO13" s="45"/>
      <c r="AP13" s="45"/>
      <c r="AQ13" s="45"/>
      <c r="AR13" s="46"/>
      <c r="AS13" s="47"/>
      <c r="AT13" s="35"/>
      <c r="AU13" s="35"/>
      <c r="AV13" s="35"/>
      <c r="AW13" s="48"/>
      <c r="AX13" s="49">
        <f t="shared" si="1"/>
        <v>0</v>
      </c>
      <c r="AY13" s="50">
        <v>0</v>
      </c>
      <c r="AZ13" s="51">
        <v>0</v>
      </c>
      <c r="BA13" s="52">
        <v>0</v>
      </c>
      <c r="BB13" s="57">
        <f t="shared" si="2"/>
        <v>0</v>
      </c>
    </row>
    <row r="14" spans="19:54" s="34" customFormat="1" ht="48" customHeight="1" thickBot="1">
      <c r="S14" s="12">
        <v>12</v>
      </c>
      <c r="T14" s="244"/>
      <c r="U14" s="35"/>
      <c r="V14" s="156"/>
      <c r="W14" s="156"/>
      <c r="X14" s="36"/>
      <c r="Y14" s="36"/>
      <c r="Z14" s="37">
        <f t="shared" si="0"/>
        <v>0</v>
      </c>
      <c r="AA14" s="38"/>
      <c r="AB14" s="39"/>
      <c r="AC14" s="147"/>
      <c r="AD14" s="101"/>
      <c r="AE14" s="41"/>
      <c r="AF14" s="42"/>
      <c r="AG14" s="42"/>
      <c r="AH14" s="42"/>
      <c r="AI14" s="42"/>
      <c r="AJ14" s="43"/>
      <c r="AK14" s="44"/>
      <c r="AL14" s="45"/>
      <c r="AM14" s="45"/>
      <c r="AN14" s="45"/>
      <c r="AO14" s="45"/>
      <c r="AP14" s="45"/>
      <c r="AQ14" s="45"/>
      <c r="AR14" s="46"/>
      <c r="AS14" s="47"/>
      <c r="AT14" s="35"/>
      <c r="AU14" s="35"/>
      <c r="AV14" s="35"/>
      <c r="AW14" s="48"/>
      <c r="AX14" s="49">
        <f t="shared" si="1"/>
        <v>0</v>
      </c>
      <c r="AY14" s="51">
        <v>0</v>
      </c>
      <c r="AZ14" s="52">
        <v>0</v>
      </c>
      <c r="BA14" s="51">
        <v>0</v>
      </c>
      <c r="BB14" s="57">
        <f t="shared" si="2"/>
        <v>0</v>
      </c>
    </row>
    <row r="15" spans="19:54" s="34" customFormat="1" ht="48" customHeight="1" thickBot="1">
      <c r="S15" s="12">
        <v>13</v>
      </c>
      <c r="T15" s="245"/>
      <c r="U15" s="58"/>
      <c r="V15" s="59"/>
      <c r="W15" s="59"/>
      <c r="X15" s="60"/>
      <c r="Y15" s="60"/>
      <c r="Z15" s="61">
        <f t="shared" si="0"/>
        <v>0</v>
      </c>
      <c r="AA15" s="62"/>
      <c r="AB15" s="63"/>
      <c r="AC15" s="148"/>
      <c r="AD15" s="102"/>
      <c r="AE15" s="65"/>
      <c r="AF15" s="66"/>
      <c r="AG15" s="67"/>
      <c r="AH15" s="67"/>
      <c r="AI15" s="67"/>
      <c r="AJ15" s="66"/>
      <c r="AK15" s="68"/>
      <c r="AL15" s="69"/>
      <c r="AM15" s="69"/>
      <c r="AN15" s="69"/>
      <c r="AO15" s="69"/>
      <c r="AP15" s="69"/>
      <c r="AQ15" s="69"/>
      <c r="AR15" s="70"/>
      <c r="AS15" s="71"/>
      <c r="AT15" s="35"/>
      <c r="AU15" s="35"/>
      <c r="AV15" s="35"/>
      <c r="AW15" s="48"/>
      <c r="AX15" s="49">
        <f t="shared" si="1"/>
        <v>0</v>
      </c>
      <c r="AY15" s="50">
        <v>0</v>
      </c>
      <c r="AZ15" s="51">
        <v>0</v>
      </c>
      <c r="BA15" s="52">
        <v>0</v>
      </c>
      <c r="BB15" s="57">
        <f t="shared" si="2"/>
        <v>0</v>
      </c>
    </row>
    <row r="16" spans="19:54" s="72" customFormat="1" ht="50.1" customHeight="1">
      <c r="S16" s="254" t="s">
        <v>42</v>
      </c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5" t="s">
        <v>53</v>
      </c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6" t="s">
        <v>43</v>
      </c>
      <c r="AU16" s="257"/>
      <c r="AV16" s="257"/>
      <c r="AW16" s="257"/>
      <c r="AX16" s="257"/>
      <c r="AY16" s="257"/>
      <c r="AZ16" s="257"/>
      <c r="BA16" s="257"/>
      <c r="BB16" s="258"/>
    </row>
    <row r="17" spans="18:62" s="72" customFormat="1" ht="60" customHeight="1">
      <c r="S17" s="73" t="s">
        <v>15</v>
      </c>
      <c r="T17" s="300" t="s">
        <v>44</v>
      </c>
      <c r="U17" s="301"/>
      <c r="V17" s="302" t="s">
        <v>45</v>
      </c>
      <c r="W17" s="303"/>
      <c r="X17" s="74" t="s">
        <v>46</v>
      </c>
      <c r="Y17" s="75" t="s">
        <v>67</v>
      </c>
      <c r="Z17" s="304" t="s">
        <v>47</v>
      </c>
      <c r="AA17" s="304"/>
      <c r="AB17" s="304"/>
      <c r="AC17" s="304"/>
      <c r="AD17" s="304"/>
      <c r="AE17" s="304"/>
      <c r="AF17" s="304"/>
      <c r="AG17" s="305" t="s">
        <v>48</v>
      </c>
      <c r="AH17" s="306"/>
      <c r="AI17" s="307" t="s">
        <v>49</v>
      </c>
      <c r="AJ17" s="307"/>
      <c r="AK17" s="92"/>
      <c r="AL17" s="308" t="s">
        <v>68</v>
      </c>
      <c r="AM17" s="309"/>
      <c r="AN17" s="310"/>
      <c r="AO17" s="288" t="s">
        <v>50</v>
      </c>
      <c r="AP17" s="289"/>
      <c r="AQ17" s="289"/>
      <c r="AR17" s="289"/>
      <c r="AS17" s="289"/>
      <c r="AT17" s="76" t="s">
        <v>51</v>
      </c>
      <c r="AU17" s="290" t="s">
        <v>33</v>
      </c>
      <c r="AV17" s="291"/>
      <c r="AW17" s="77" t="s">
        <v>34</v>
      </c>
      <c r="AX17" s="77" t="s">
        <v>66</v>
      </c>
      <c r="AY17" s="77" t="s">
        <v>35</v>
      </c>
      <c r="AZ17" s="77" t="s">
        <v>36</v>
      </c>
      <c r="BA17" s="292" t="s">
        <v>52</v>
      </c>
      <c r="BB17" s="293"/>
    </row>
    <row r="18" spans="18:62" ht="60.75" customHeight="1">
      <c r="S18" s="78">
        <v>1</v>
      </c>
      <c r="T18" s="294"/>
      <c r="U18" s="295"/>
      <c r="V18" s="280"/>
      <c r="W18" s="281"/>
      <c r="X18" s="79" t="str">
        <f>TEXT(MOD(V18-T18,1),"h:mm")</f>
        <v>0:00</v>
      </c>
      <c r="Y18" s="80"/>
      <c r="Z18" s="282"/>
      <c r="AA18" s="282"/>
      <c r="AB18" s="282"/>
      <c r="AC18" s="282"/>
      <c r="AD18" s="282"/>
      <c r="AE18" s="282"/>
      <c r="AF18" s="282"/>
      <c r="AG18" s="296">
        <f>SUM(AX7:AX9)</f>
        <v>0</v>
      </c>
      <c r="AH18" s="297"/>
      <c r="AI18" s="298">
        <f>SUM(AX10:AX12)</f>
        <v>0</v>
      </c>
      <c r="AJ18" s="298"/>
      <c r="AK18" s="93"/>
      <c r="AL18" s="298">
        <f>SUM(AX13:AX15)</f>
        <v>0</v>
      </c>
      <c r="AM18" s="298"/>
      <c r="AN18" s="298"/>
      <c r="AO18" s="299">
        <f>SUM(AG18:AN18)</f>
        <v>0</v>
      </c>
      <c r="AP18" s="299"/>
      <c r="AQ18" s="299"/>
      <c r="AR18" s="299"/>
      <c r="AS18" s="299"/>
      <c r="AT18" s="81" t="s">
        <v>1</v>
      </c>
      <c r="AU18" s="276">
        <f>SUM(AS7:AS9)</f>
        <v>0</v>
      </c>
      <c r="AV18" s="277"/>
      <c r="AW18" s="82">
        <f>SUM(AT7:AT9)</f>
        <v>0</v>
      </c>
      <c r="AX18" s="82">
        <f>SUM(AV7:AV9)</f>
        <v>0</v>
      </c>
      <c r="AY18" s="82">
        <f>SUM(AU7:AU9)</f>
        <v>0</v>
      </c>
      <c r="AZ18" s="82">
        <f>SUM(AW7:AW9)</f>
        <v>0</v>
      </c>
      <c r="BA18" s="276">
        <f>SUM(AU18:AZ18)</f>
        <v>0</v>
      </c>
      <c r="BB18" s="277"/>
    </row>
    <row r="19" spans="18:62" ht="60.75" customHeight="1">
      <c r="S19" s="78">
        <v>2</v>
      </c>
      <c r="T19" s="278"/>
      <c r="U19" s="279"/>
      <c r="V19" s="280"/>
      <c r="W19" s="281"/>
      <c r="X19" s="79" t="str">
        <f>TEXT(MOD(V19-T19,1),"h:mm")</f>
        <v>0:00</v>
      </c>
      <c r="Y19" s="80"/>
      <c r="Z19" s="282"/>
      <c r="AA19" s="282"/>
      <c r="AB19" s="282"/>
      <c r="AC19" s="282"/>
      <c r="AD19" s="282"/>
      <c r="AE19" s="282"/>
      <c r="AF19" s="282"/>
      <c r="AG19" s="283" t="s">
        <v>41</v>
      </c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5"/>
      <c r="AT19" s="83" t="s">
        <v>5</v>
      </c>
      <c r="AU19" s="286">
        <f>SUM(AS10:AS12)</f>
        <v>0</v>
      </c>
      <c r="AV19" s="287"/>
      <c r="AW19" s="84">
        <f>SUM(AT10:AT12)</f>
        <v>0</v>
      </c>
      <c r="AX19" s="84">
        <f>SUM(AV10:AV12)</f>
        <v>0</v>
      </c>
      <c r="AY19" s="84">
        <f>SUM(AU10:AU12)</f>
        <v>0</v>
      </c>
      <c r="AZ19" s="84">
        <f>SUM(AW10:AW12)</f>
        <v>0</v>
      </c>
      <c r="BA19" s="286">
        <f>SUM(AU19:AZ19)</f>
        <v>0</v>
      </c>
      <c r="BB19" s="287"/>
    </row>
    <row r="20" spans="18:62" ht="60.75" customHeight="1">
      <c r="S20" s="78">
        <v>3</v>
      </c>
      <c r="T20" s="278"/>
      <c r="U20" s="279"/>
      <c r="V20" s="280"/>
      <c r="W20" s="281"/>
      <c r="X20" s="79" t="str">
        <f>TEXT(MOD(V20-T20,1),"h:mm")</f>
        <v>0:00</v>
      </c>
      <c r="Y20" s="80"/>
      <c r="Z20" s="327"/>
      <c r="AA20" s="327"/>
      <c r="AB20" s="327"/>
      <c r="AC20" s="327"/>
      <c r="AD20" s="327"/>
      <c r="AE20" s="327"/>
      <c r="AF20" s="327"/>
      <c r="AG20" s="311">
        <f>SUM(BB7:BB9)</f>
        <v>0</v>
      </c>
      <c r="AH20" s="328"/>
      <c r="AI20" s="311">
        <f>SUM(BB10:BB12)</f>
        <v>0</v>
      </c>
      <c r="AJ20" s="328"/>
      <c r="AK20" s="94"/>
      <c r="AL20" s="311">
        <f>SUM(BB13:BB15)</f>
        <v>0</v>
      </c>
      <c r="AM20" s="329"/>
      <c r="AN20" s="328"/>
      <c r="AO20" s="311">
        <f>SUM(AG20:AN20)</f>
        <v>0</v>
      </c>
      <c r="AP20" s="312"/>
      <c r="AQ20" s="312"/>
      <c r="AR20" s="312"/>
      <c r="AS20" s="313"/>
      <c r="AT20" s="91" t="s">
        <v>65</v>
      </c>
      <c r="AU20" s="314">
        <f>SUM(AS13:AS15)</f>
        <v>0</v>
      </c>
      <c r="AV20" s="315"/>
      <c r="AW20" s="99">
        <f>SUM(AT13:AT15)</f>
        <v>0</v>
      </c>
      <c r="AX20" s="99">
        <f>SUM(AV13:AV15)</f>
        <v>0</v>
      </c>
      <c r="AY20" s="99">
        <f>SUM(AU13:AU15)</f>
        <v>0</v>
      </c>
      <c r="AZ20" s="99">
        <f>SUM(AW13:AW15)</f>
        <v>0</v>
      </c>
      <c r="BA20" s="316">
        <f>SUM(AU20:AZ20)</f>
        <v>0</v>
      </c>
      <c r="BB20" s="317"/>
    </row>
    <row r="21" spans="18:62" ht="60.75" customHeight="1">
      <c r="S21" s="78">
        <v>4</v>
      </c>
      <c r="T21" s="278"/>
      <c r="U21" s="279"/>
      <c r="V21" s="280"/>
      <c r="W21" s="281"/>
      <c r="X21" s="79" t="str">
        <f>TEXT(MOD(V21-T21,1),"h:mm")</f>
        <v>0:00</v>
      </c>
      <c r="Y21" s="80"/>
      <c r="Z21" s="318"/>
      <c r="AA21" s="318"/>
      <c r="AB21" s="318"/>
      <c r="AC21" s="318"/>
      <c r="AD21" s="318"/>
      <c r="AE21" s="318"/>
      <c r="AF21" s="318"/>
      <c r="AG21" s="319" t="s">
        <v>54</v>
      </c>
      <c r="AH21" s="320"/>
      <c r="AI21" s="320"/>
      <c r="AJ21" s="320"/>
      <c r="AK21" s="320"/>
      <c r="AL21" s="320"/>
      <c r="AM21" s="320"/>
      <c r="AN21" s="320"/>
      <c r="AO21" s="320"/>
      <c r="AP21" s="320"/>
      <c r="AQ21" s="320"/>
      <c r="AR21" s="320"/>
      <c r="AS21" s="321"/>
      <c r="AT21" s="322" t="s">
        <v>55</v>
      </c>
      <c r="AU21" s="323"/>
      <c r="AV21" s="324"/>
      <c r="AW21" s="325">
        <v>1680</v>
      </c>
      <c r="AX21" s="326"/>
      <c r="AY21" s="322" t="s">
        <v>56</v>
      </c>
      <c r="AZ21" s="324"/>
      <c r="BA21" s="330">
        <v>1628</v>
      </c>
      <c r="BB21" s="331"/>
    </row>
    <row r="22" spans="18:62" ht="54" customHeight="1">
      <c r="S22" s="78">
        <v>5</v>
      </c>
      <c r="T22" s="278"/>
      <c r="U22" s="279"/>
      <c r="V22" s="280"/>
      <c r="W22" s="281"/>
      <c r="X22" s="79" t="str">
        <f>TEXT(MOD(V22-T22,1),"h:mm")</f>
        <v>0:00</v>
      </c>
      <c r="Y22" s="80"/>
      <c r="Z22" s="318"/>
      <c r="AA22" s="318"/>
      <c r="AB22" s="318"/>
      <c r="AC22" s="318"/>
      <c r="AD22" s="318"/>
      <c r="AE22" s="318"/>
      <c r="AF22" s="318"/>
      <c r="AG22" s="357">
        <f>SUM(AY7:BA9)</f>
        <v>0</v>
      </c>
      <c r="AH22" s="357"/>
      <c r="AI22" s="298">
        <f>SUM(AY10:BA12)</f>
        <v>0</v>
      </c>
      <c r="AJ22" s="298"/>
      <c r="AK22" s="95"/>
      <c r="AL22" s="358">
        <f>SUM(AY13:BA15)</f>
        <v>0</v>
      </c>
      <c r="AM22" s="358"/>
      <c r="AN22" s="359"/>
      <c r="AO22" s="360">
        <f>SUM(AG22:AN22)</f>
        <v>0</v>
      </c>
      <c r="AP22" s="361"/>
      <c r="AQ22" s="361"/>
      <c r="AR22" s="361"/>
      <c r="AS22" s="362"/>
      <c r="AT22" s="98" t="s">
        <v>69</v>
      </c>
      <c r="AU22" s="363" t="s">
        <v>48</v>
      </c>
      <c r="AV22" s="364"/>
      <c r="AW22" s="365" t="s">
        <v>49</v>
      </c>
      <c r="AX22" s="366"/>
      <c r="AY22" s="332" t="s">
        <v>68</v>
      </c>
      <c r="AZ22" s="333"/>
      <c r="BA22" s="334" t="s">
        <v>57</v>
      </c>
      <c r="BB22" s="335"/>
    </row>
    <row r="23" spans="18:62" ht="59.25" customHeight="1">
      <c r="S23" s="336" t="s">
        <v>61</v>
      </c>
      <c r="T23" s="337"/>
      <c r="U23" s="337"/>
      <c r="V23" s="337"/>
      <c r="W23" s="338"/>
      <c r="X23" s="85">
        <f>SUM(X18+X19+X20+X21+X22)</f>
        <v>0</v>
      </c>
      <c r="Y23" s="157" t="s">
        <v>62</v>
      </c>
      <c r="Z23" s="86"/>
      <c r="AA23" s="87"/>
      <c r="AB23" s="87"/>
      <c r="AC23" s="339" t="s">
        <v>63</v>
      </c>
      <c r="AD23" s="339"/>
      <c r="AE23" s="340"/>
      <c r="AF23" s="341"/>
      <c r="AG23" s="342" t="s">
        <v>22</v>
      </c>
      <c r="AH23" s="343"/>
      <c r="AI23" s="344"/>
      <c r="AJ23" s="345" t="s">
        <v>48</v>
      </c>
      <c r="AK23" s="346"/>
      <c r="AL23" s="346"/>
      <c r="AM23" s="347"/>
      <c r="AN23" s="348" t="s">
        <v>49</v>
      </c>
      <c r="AO23" s="348"/>
      <c r="AP23" s="348"/>
      <c r="AQ23" s="349" t="s">
        <v>68</v>
      </c>
      <c r="AR23" s="350"/>
      <c r="AS23" s="351"/>
      <c r="AT23" s="96" t="s">
        <v>60</v>
      </c>
      <c r="AU23" s="352">
        <f>SUM(AQ7:AQ9)</f>
        <v>0</v>
      </c>
      <c r="AV23" s="353"/>
      <c r="AW23" s="352">
        <f>SUM(AQ10:AQ12)</f>
        <v>0</v>
      </c>
      <c r="AX23" s="354"/>
      <c r="AY23" s="352">
        <f>SUM(AQ13:AQ15)</f>
        <v>0</v>
      </c>
      <c r="AZ23" s="353"/>
      <c r="BA23" s="355">
        <f>SUM(AU23:AZ23)</f>
        <v>0</v>
      </c>
      <c r="BB23" s="356"/>
    </row>
    <row r="24" spans="18:62" ht="57" customHeight="1">
      <c r="S24" s="367"/>
      <c r="T24" s="368"/>
      <c r="U24" s="368"/>
      <c r="V24" s="368"/>
      <c r="W24" s="369"/>
      <c r="X24" s="373" t="s">
        <v>73</v>
      </c>
      <c r="Y24" s="104" t="s">
        <v>70</v>
      </c>
      <c r="Z24" s="105" t="s">
        <v>71</v>
      </c>
      <c r="AA24" s="103"/>
      <c r="AB24" s="103"/>
      <c r="AC24" s="375" t="s">
        <v>72</v>
      </c>
      <c r="AD24" s="376"/>
      <c r="AE24" s="377" t="s">
        <v>57</v>
      </c>
      <c r="AF24" s="378"/>
      <c r="AG24" s="379" t="s">
        <v>58</v>
      </c>
      <c r="AH24" s="380"/>
      <c r="AI24" s="381"/>
      <c r="AJ24" s="382">
        <f>AVERAGE(Z7:Z8)</f>
        <v>0</v>
      </c>
      <c r="AK24" s="383"/>
      <c r="AL24" s="383"/>
      <c r="AM24" s="383"/>
      <c r="AN24" s="382">
        <f>AVERAGE(Z10:Z11)</f>
        <v>0</v>
      </c>
      <c r="AO24" s="383"/>
      <c r="AP24" s="383"/>
      <c r="AQ24" s="382">
        <f>AVERAGE(Z13)</f>
        <v>0</v>
      </c>
      <c r="AR24" s="383"/>
      <c r="AS24" s="383"/>
      <c r="AT24" s="97" t="s">
        <v>64</v>
      </c>
      <c r="AU24" s="387">
        <f>SUM(AL7:AP9)</f>
        <v>0</v>
      </c>
      <c r="AV24" s="388"/>
      <c r="AW24" s="387">
        <f>SUM(AL10:AP12)</f>
        <v>0</v>
      </c>
      <c r="AX24" s="388"/>
      <c r="AY24" s="387">
        <f>SUM(AL13:AP15)</f>
        <v>0</v>
      </c>
      <c r="AZ24" s="388"/>
      <c r="BA24" s="389">
        <f>SUM(AU24:AZ24)</f>
        <v>0</v>
      </c>
      <c r="BB24" s="390"/>
    </row>
    <row r="25" spans="18:62" ht="52.5" customHeight="1">
      <c r="S25" s="370"/>
      <c r="T25" s="371"/>
      <c r="U25" s="371"/>
      <c r="V25" s="371"/>
      <c r="W25" s="372"/>
      <c r="X25" s="374"/>
      <c r="Y25" s="106">
        <f>SUM(AD7:AD9)</f>
        <v>0</v>
      </c>
      <c r="Z25" s="106">
        <f>SUM(AD10:AD12)</f>
        <v>0</v>
      </c>
      <c r="AA25" s="107"/>
      <c r="AB25" s="107"/>
      <c r="AC25" s="391">
        <f>SUM(AD13:AD15)</f>
        <v>0</v>
      </c>
      <c r="AD25" s="392"/>
      <c r="AE25" s="393">
        <f>SUM(Y25:AD25)</f>
        <v>0</v>
      </c>
      <c r="AF25" s="394"/>
      <c r="AG25" s="379" t="s">
        <v>59</v>
      </c>
      <c r="AH25" s="380"/>
      <c r="AI25" s="381"/>
      <c r="AJ25" s="382">
        <f>SUM(Z7:Z9)</f>
        <v>0</v>
      </c>
      <c r="AK25" s="383"/>
      <c r="AL25" s="383"/>
      <c r="AM25" s="383"/>
      <c r="AN25" s="382">
        <f>SUM(Z10:Z12)</f>
        <v>0</v>
      </c>
      <c r="AO25" s="383"/>
      <c r="AP25" s="383"/>
      <c r="AQ25" s="382">
        <f>SUM(Z13:Z15)</f>
        <v>0</v>
      </c>
      <c r="AR25" s="383"/>
      <c r="AS25" s="383"/>
      <c r="AT25" s="384"/>
      <c r="AU25" s="385"/>
      <c r="AV25" s="385"/>
      <c r="AW25" s="385"/>
      <c r="AX25" s="385"/>
      <c r="AY25" s="385"/>
      <c r="AZ25" s="385"/>
      <c r="BA25" s="385"/>
      <c r="BB25" s="386"/>
    </row>
    <row r="26" spans="18:62" ht="60.75" customHeight="1"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8:62" ht="30" customHeight="1"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8:62" ht="30" customHeight="1"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T28" s="4"/>
      <c r="AU28" s="4"/>
      <c r="AV28" s="4"/>
      <c r="AW28" s="4"/>
      <c r="AX28" s="4"/>
      <c r="AY28" s="4"/>
      <c r="AZ28" s="4"/>
      <c r="BA28" s="4"/>
    </row>
    <row r="29" spans="18:62" ht="30" customHeight="1"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T29" s="4"/>
      <c r="AU29" s="4"/>
      <c r="AV29" s="4"/>
      <c r="AW29" s="4"/>
      <c r="AX29" s="4"/>
      <c r="AY29" s="4"/>
      <c r="AZ29" s="4"/>
      <c r="BA29" s="4"/>
    </row>
    <row r="30" spans="18:62" ht="30" customHeight="1">
      <c r="R30" s="3"/>
      <c r="S30" s="3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T30" s="4"/>
      <c r="AU30" s="4"/>
      <c r="AV30" s="4"/>
      <c r="AW30" s="4"/>
      <c r="AX30" s="4"/>
      <c r="AY30" s="4"/>
      <c r="AZ30" s="4"/>
      <c r="BA30" s="4"/>
    </row>
    <row r="31" spans="18:62" ht="30" customHeight="1">
      <c r="R31" s="3"/>
      <c r="S31" s="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T31" s="4"/>
      <c r="AU31" s="4"/>
      <c r="AV31" s="4"/>
      <c r="AW31" s="4"/>
      <c r="AX31" s="4"/>
      <c r="AY31" s="4"/>
      <c r="AZ31" s="4"/>
      <c r="BA31" s="4"/>
    </row>
    <row r="32" spans="18:62" ht="15" customHeight="1">
      <c r="S32" s="3"/>
      <c r="BJ32" s="4">
        <v>8</v>
      </c>
    </row>
  </sheetData>
  <mergeCells count="145">
    <mergeCell ref="S24:W25"/>
    <mergeCell ref="X24:X25"/>
    <mergeCell ref="AC24:AD24"/>
    <mergeCell ref="AE24:AF24"/>
    <mergeCell ref="AG24:AI24"/>
    <mergeCell ref="AJ24:AM24"/>
    <mergeCell ref="AN24:AP24"/>
    <mergeCell ref="AQ25:AS25"/>
    <mergeCell ref="AT25:BB25"/>
    <mergeCell ref="AQ24:AS24"/>
    <mergeCell ref="AU24:AV24"/>
    <mergeCell ref="AW24:AX24"/>
    <mergeCell ref="AY24:AZ24"/>
    <mergeCell ref="BA24:BB24"/>
    <mergeCell ref="AC25:AD25"/>
    <mergeCell ref="AE25:AF25"/>
    <mergeCell ref="AG25:AI25"/>
    <mergeCell ref="AJ25:AM25"/>
    <mergeCell ref="AN25:AP25"/>
    <mergeCell ref="AY22:AZ22"/>
    <mergeCell ref="BA22:BB22"/>
    <mergeCell ref="S23:W23"/>
    <mergeCell ref="AC23:AD23"/>
    <mergeCell ref="AE23:AF23"/>
    <mergeCell ref="AG23:AI23"/>
    <mergeCell ref="AJ23:AM23"/>
    <mergeCell ref="AN23:AP23"/>
    <mergeCell ref="AQ23:AS23"/>
    <mergeCell ref="AU23:AV23"/>
    <mergeCell ref="AW23:AX23"/>
    <mergeCell ref="AY23:AZ23"/>
    <mergeCell ref="BA23:BB23"/>
    <mergeCell ref="T22:U22"/>
    <mergeCell ref="V22:W22"/>
    <mergeCell ref="Z22:AF22"/>
    <mergeCell ref="AG22:AH22"/>
    <mergeCell ref="AI22:AJ22"/>
    <mergeCell ref="AL22:AN22"/>
    <mergeCell ref="AO22:AS22"/>
    <mergeCell ref="AU22:AV22"/>
    <mergeCell ref="AW22:AX22"/>
    <mergeCell ref="AO20:AS20"/>
    <mergeCell ref="AU20:AV20"/>
    <mergeCell ref="BA20:BB20"/>
    <mergeCell ref="T21:U21"/>
    <mergeCell ref="V21:W21"/>
    <mergeCell ref="Z21:AF21"/>
    <mergeCell ref="AG21:AS21"/>
    <mergeCell ref="AT21:AV21"/>
    <mergeCell ref="AW21:AX21"/>
    <mergeCell ref="AY21:AZ21"/>
    <mergeCell ref="T20:U20"/>
    <mergeCell ref="V20:W20"/>
    <mergeCell ref="Z20:AF20"/>
    <mergeCell ref="AG20:AH20"/>
    <mergeCell ref="AI20:AJ20"/>
    <mergeCell ref="AL20:AN20"/>
    <mergeCell ref="BA21:BB21"/>
    <mergeCell ref="AU18:AV18"/>
    <mergeCell ref="BA18:BB18"/>
    <mergeCell ref="T19:U19"/>
    <mergeCell ref="V19:W19"/>
    <mergeCell ref="Z19:AF19"/>
    <mergeCell ref="AG19:AS19"/>
    <mergeCell ref="AU19:AV19"/>
    <mergeCell ref="BA19:BB19"/>
    <mergeCell ref="AO17:AS17"/>
    <mergeCell ref="AU17:AV17"/>
    <mergeCell ref="BA17:BB17"/>
    <mergeCell ref="T18:U18"/>
    <mergeCell ref="V18:W18"/>
    <mergeCell ref="Z18:AF18"/>
    <mergeCell ref="AG18:AH18"/>
    <mergeCell ref="AI18:AJ18"/>
    <mergeCell ref="AL18:AN18"/>
    <mergeCell ref="AO18:AS18"/>
    <mergeCell ref="T17:U17"/>
    <mergeCell ref="V17:W17"/>
    <mergeCell ref="Z17:AF17"/>
    <mergeCell ref="AG17:AH17"/>
    <mergeCell ref="AI17:AJ17"/>
    <mergeCell ref="AL17:AN17"/>
    <mergeCell ref="S16:AF16"/>
    <mergeCell ref="AG16:AS16"/>
    <mergeCell ref="AT16:BB16"/>
    <mergeCell ref="AU5:AU6"/>
    <mergeCell ref="AV5:AV6"/>
    <mergeCell ref="AW5:AW6"/>
    <mergeCell ref="AX5:AX6"/>
    <mergeCell ref="AY5:AY6"/>
    <mergeCell ref="AZ5:AZ6"/>
    <mergeCell ref="AH5:AH6"/>
    <mergeCell ref="AI5:AI6"/>
    <mergeCell ref="AJ5:AJ6"/>
    <mergeCell ref="AK5:AR5"/>
    <mergeCell ref="AS5:AS6"/>
    <mergeCell ref="AT5:AT6"/>
    <mergeCell ref="AB5:AB6"/>
    <mergeCell ref="AC5:AC6"/>
    <mergeCell ref="AD5:AD6"/>
    <mergeCell ref="AE5:AE6"/>
    <mergeCell ref="S4:Z4"/>
    <mergeCell ref="AA4:AB4"/>
    <mergeCell ref="AC4:AD4"/>
    <mergeCell ref="AE4:AJ4"/>
    <mergeCell ref="AL4:AQ4"/>
    <mergeCell ref="AS4:AW4"/>
    <mergeCell ref="T7:T9"/>
    <mergeCell ref="T10:T12"/>
    <mergeCell ref="T13:T15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Q1:AT1"/>
    <mergeCell ref="AU1:AW1"/>
    <mergeCell ref="AF5:AF6"/>
    <mergeCell ref="AG5:AG6"/>
    <mergeCell ref="AX1:BB3"/>
    <mergeCell ref="AC2:AE2"/>
    <mergeCell ref="AF2:AH2"/>
    <mergeCell ref="AI2:AL2"/>
    <mergeCell ref="AM2:AP2"/>
    <mergeCell ref="AQ2:AT2"/>
    <mergeCell ref="AU2:AW2"/>
    <mergeCell ref="AC3:AE3"/>
    <mergeCell ref="AQ3:AT3"/>
    <mergeCell ref="AU3:AW3"/>
    <mergeCell ref="AX4:BB4"/>
    <mergeCell ref="BA5:BA6"/>
    <mergeCell ref="BB5:BB6"/>
    <mergeCell ref="S1:W3"/>
    <mergeCell ref="X1:Y3"/>
    <mergeCell ref="AC1:AE1"/>
    <mergeCell ref="AF1:AH1"/>
    <mergeCell ref="AI1:AL1"/>
    <mergeCell ref="AM1:AP1"/>
    <mergeCell ref="AF3:AH3"/>
    <mergeCell ref="AI3:AL3"/>
    <mergeCell ref="AM3:AP3"/>
  </mergeCells>
  <conditionalFormatting sqref="Z7:Z15">
    <cfRule type="cellIs" dxfId="64" priority="3" operator="greaterThan">
      <formula>0.167361111111111</formula>
    </cfRule>
    <cfRule type="cellIs" dxfId="63" priority="4" operator="greaterThan">
      <formula>0.15625</formula>
    </cfRule>
  </conditionalFormatting>
  <conditionalFormatting sqref="AA7:AJ15">
    <cfRule type="cellIs" dxfId="62" priority="11" operator="between">
      <formula>1700</formula>
      <formula>1710</formula>
    </cfRule>
    <cfRule type="cellIs" dxfId="61" priority="12" operator="between">
      <formula>1691</formula>
      <formula>1700</formula>
    </cfRule>
  </conditionalFormatting>
  <conditionalFormatting sqref="AS7:AS15">
    <cfRule type="expression" dxfId="60" priority="13">
      <formula>IF(($AS7/$AX7)*1000&gt;$AY$1,1,0)</formula>
    </cfRule>
  </conditionalFormatting>
  <conditionalFormatting sqref="AT7:AW15">
    <cfRule type="cellIs" dxfId="59" priority="5" operator="greaterThan">
      <formula>10</formula>
    </cfRule>
  </conditionalFormatting>
  <conditionalFormatting sqref="AX7:AX15">
    <cfRule type="cellIs" dxfId="58" priority="2" operator="between">
      <formula>16000</formula>
      <formula>17200</formula>
    </cfRule>
    <cfRule type="cellIs" dxfId="57" priority="6" operator="lessThan">
      <formula>15800</formula>
    </cfRule>
    <cfRule type="cellIs" dxfId="56" priority="7" operator="greaterThan">
      <formula>18000</formula>
    </cfRule>
  </conditionalFormatting>
  <conditionalFormatting sqref="AZ7:BA15">
    <cfRule type="cellIs" dxfId="55" priority="10" operator="greaterThan">
      <formula>0</formula>
    </cfRule>
  </conditionalFormatting>
  <conditionalFormatting sqref="BB7:BB15">
    <cfRule type="cellIs" dxfId="54" priority="1" operator="between">
      <formula>16000</formula>
      <formula>17200</formula>
    </cfRule>
    <cfRule type="cellIs" dxfId="53" priority="8" operator="greaterThan">
      <formula>18000</formula>
    </cfRule>
    <cfRule type="cellIs" dxfId="52" priority="9" operator="lessThan">
      <formula>15800</formula>
    </cfRule>
  </conditionalFormatting>
  <printOptions horizontalCentered="1" verticalCentered="1"/>
  <pageMargins left="0" right="0" top="0" bottom="0.21" header="0" footer="0"/>
  <pageSetup paperSize="9" scale="42" orientation="landscape" cellComments="asDisplayed" r:id="rId1"/>
  <headerFooter differentFirst="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3D74C-1778-419C-9FD1-359DB9D526FD}">
  <sheetPr>
    <tabColor theme="5"/>
    <pageSetUpPr fitToPage="1"/>
  </sheetPr>
  <dimension ref="R1:BJ32"/>
  <sheetViews>
    <sheetView showGridLines="0" rightToLeft="1" topLeftCell="S5" zoomScale="55" zoomScaleNormal="55" zoomScalePageLayoutView="40" workbookViewId="0">
      <selection activeCell="AN10" sqref="AN10"/>
    </sheetView>
  </sheetViews>
  <sheetFormatPr defaultColWidth="9.140625" defaultRowHeight="15"/>
  <cols>
    <col min="1" max="18" width="9.140625" style="4"/>
    <col min="19" max="19" width="5.7109375" style="4" customWidth="1"/>
    <col min="20" max="20" width="9.5703125" style="3" customWidth="1"/>
    <col min="21" max="21" width="10.7109375" style="3" customWidth="1"/>
    <col min="22" max="22" width="9.42578125" style="88" customWidth="1"/>
    <col min="23" max="23" width="8.85546875" style="88" customWidth="1"/>
    <col min="24" max="24" width="14.42578125" style="3" customWidth="1"/>
    <col min="25" max="25" width="14.7109375" style="3" customWidth="1"/>
    <col min="26" max="26" width="15.140625" style="88" customWidth="1"/>
    <col min="27" max="27" width="9.5703125" style="3" hidden="1" customWidth="1"/>
    <col min="28" max="28" width="10" style="3" hidden="1" customWidth="1"/>
    <col min="29" max="29" width="8.140625" style="3" customWidth="1"/>
    <col min="30" max="30" width="8.5703125" style="3" customWidth="1"/>
    <col min="31" max="31" width="12.42578125" style="3" customWidth="1"/>
    <col min="32" max="32" width="10.5703125" style="3" customWidth="1"/>
    <col min="33" max="33" width="9.5703125" style="3" customWidth="1"/>
    <col min="34" max="34" width="11.42578125" style="3" customWidth="1"/>
    <col min="35" max="35" width="9.42578125" style="3" customWidth="1"/>
    <col min="36" max="36" width="9.28515625" style="3" customWidth="1"/>
    <col min="37" max="37" width="6.7109375" style="3" hidden="1" customWidth="1"/>
    <col min="38" max="42" width="6.7109375" style="3" customWidth="1"/>
    <col min="43" max="43" width="8.140625" style="3" customWidth="1"/>
    <col min="44" max="44" width="6.7109375" style="3" hidden="1" customWidth="1"/>
    <col min="45" max="45" width="10.42578125" style="3" customWidth="1"/>
    <col min="46" max="46" width="8.7109375" style="3" customWidth="1"/>
    <col min="47" max="47" width="8.5703125" style="3" customWidth="1"/>
    <col min="48" max="48" width="8.7109375" style="3" customWidth="1"/>
    <col min="49" max="49" width="9.5703125" style="3" customWidth="1"/>
    <col min="50" max="50" width="12.42578125" style="88" customWidth="1"/>
    <col min="51" max="51" width="11.85546875" style="3" customWidth="1"/>
    <col min="52" max="52" width="11.5703125" style="3" customWidth="1"/>
    <col min="53" max="53" width="13.42578125" style="3" customWidth="1"/>
    <col min="54" max="54" width="13.5703125" style="4" customWidth="1"/>
    <col min="55" max="57" width="9.140625" style="4"/>
    <col min="58" max="58" width="25" style="4" customWidth="1"/>
    <col min="59" max="61" width="9.140625" style="4"/>
    <col min="62" max="62" width="23.5703125" style="4" customWidth="1"/>
    <col min="63" max="16384" width="9.140625" style="4"/>
  </cols>
  <sheetData>
    <row r="1" spans="19:54" ht="36.75" customHeight="1" thickBot="1">
      <c r="S1" s="180"/>
      <c r="T1" s="181"/>
      <c r="U1" s="181"/>
      <c r="V1" s="181"/>
      <c r="W1" s="181"/>
      <c r="X1" s="182" t="s">
        <v>0</v>
      </c>
      <c r="Y1" s="183"/>
      <c r="Z1" s="1" t="s">
        <v>1</v>
      </c>
      <c r="AA1" s="2"/>
      <c r="AC1" s="188" t="s">
        <v>2</v>
      </c>
      <c r="AD1" s="189"/>
      <c r="AE1" s="189"/>
      <c r="AF1" s="190" t="s">
        <v>75</v>
      </c>
      <c r="AG1" s="191"/>
      <c r="AH1" s="192"/>
      <c r="AI1" s="193" t="s">
        <v>3</v>
      </c>
      <c r="AJ1" s="194"/>
      <c r="AK1" s="194"/>
      <c r="AL1" s="195"/>
      <c r="AM1" s="196" t="s">
        <v>76</v>
      </c>
      <c r="AN1" s="197"/>
      <c r="AO1" s="197"/>
      <c r="AP1" s="198"/>
      <c r="AQ1" s="203" t="s">
        <v>4</v>
      </c>
      <c r="AR1" s="204"/>
      <c r="AS1" s="204"/>
      <c r="AT1" s="205"/>
      <c r="AU1" s="206" t="s">
        <v>74</v>
      </c>
      <c r="AV1" s="207"/>
      <c r="AW1" s="208"/>
      <c r="AX1" s="211" t="s">
        <v>99</v>
      </c>
      <c r="AY1" s="211"/>
      <c r="AZ1" s="211"/>
      <c r="BA1" s="211"/>
      <c r="BB1" s="211"/>
    </row>
    <row r="2" spans="19:54" ht="36.75" customHeight="1" thickBot="1">
      <c r="S2" s="180"/>
      <c r="T2" s="181"/>
      <c r="U2" s="181"/>
      <c r="V2" s="181"/>
      <c r="W2" s="181"/>
      <c r="X2" s="184"/>
      <c r="Y2" s="185"/>
      <c r="Z2" s="5" t="s">
        <v>5</v>
      </c>
      <c r="AA2" s="89"/>
      <c r="AC2" s="188" t="s">
        <v>2</v>
      </c>
      <c r="AD2" s="189"/>
      <c r="AE2" s="212"/>
      <c r="AF2" s="190" t="s">
        <v>78</v>
      </c>
      <c r="AG2" s="191"/>
      <c r="AH2" s="192"/>
      <c r="AI2" s="193" t="s">
        <v>3</v>
      </c>
      <c r="AJ2" s="194"/>
      <c r="AK2" s="194"/>
      <c r="AL2" s="195"/>
      <c r="AM2" s="202" t="s">
        <v>79</v>
      </c>
      <c r="AN2" s="202"/>
      <c r="AO2" s="202"/>
      <c r="AP2" s="202"/>
      <c r="AQ2" s="203" t="s">
        <v>4</v>
      </c>
      <c r="AR2" s="204"/>
      <c r="AS2" s="204"/>
      <c r="AT2" s="205"/>
      <c r="AU2" s="213" t="s">
        <v>77</v>
      </c>
      <c r="AV2" s="213"/>
      <c r="AW2" s="213"/>
      <c r="AX2" s="211"/>
      <c r="AY2" s="211"/>
      <c r="AZ2" s="211"/>
      <c r="BA2" s="211"/>
      <c r="BB2" s="211"/>
    </row>
    <row r="3" spans="19:54" ht="38.25" customHeight="1" thickBot="1">
      <c r="S3" s="181"/>
      <c r="T3" s="181"/>
      <c r="U3" s="181"/>
      <c r="V3" s="181"/>
      <c r="W3" s="181"/>
      <c r="X3" s="186"/>
      <c r="Y3" s="187"/>
      <c r="Z3" s="90" t="s">
        <v>65</v>
      </c>
      <c r="AA3" s="6"/>
      <c r="AC3" s="188" t="s">
        <v>6</v>
      </c>
      <c r="AD3" s="189"/>
      <c r="AE3" s="212"/>
      <c r="AF3" s="190" t="s">
        <v>81</v>
      </c>
      <c r="AG3" s="191"/>
      <c r="AH3" s="192"/>
      <c r="AI3" s="199" t="s">
        <v>7</v>
      </c>
      <c r="AJ3" s="200"/>
      <c r="AK3" s="200"/>
      <c r="AL3" s="201"/>
      <c r="AM3" s="202" t="s">
        <v>82</v>
      </c>
      <c r="AN3" s="202"/>
      <c r="AO3" s="202"/>
      <c r="AP3" s="202"/>
      <c r="AQ3" s="203" t="s">
        <v>4</v>
      </c>
      <c r="AR3" s="204"/>
      <c r="AS3" s="204"/>
      <c r="AT3" s="214"/>
      <c r="AU3" s="215" t="s">
        <v>80</v>
      </c>
      <c r="AV3" s="216"/>
      <c r="AW3" s="217"/>
      <c r="AX3" s="211"/>
      <c r="AY3" s="211"/>
      <c r="AZ3" s="211"/>
      <c r="BA3" s="211"/>
      <c r="BB3" s="211"/>
    </row>
    <row r="4" spans="19:54" ht="34.5" customHeight="1" thickBot="1">
      <c r="S4" s="225" t="s">
        <v>8</v>
      </c>
      <c r="T4" s="226"/>
      <c r="U4" s="226"/>
      <c r="V4" s="226"/>
      <c r="W4" s="226"/>
      <c r="X4" s="227"/>
      <c r="Y4" s="227"/>
      <c r="Z4" s="228"/>
      <c r="AA4" s="229" t="s">
        <v>9</v>
      </c>
      <c r="AB4" s="230"/>
      <c r="AC4" s="231" t="s">
        <v>10</v>
      </c>
      <c r="AD4" s="232"/>
      <c r="AE4" s="233" t="s">
        <v>11</v>
      </c>
      <c r="AF4" s="234"/>
      <c r="AG4" s="234"/>
      <c r="AH4" s="234"/>
      <c r="AI4" s="234"/>
      <c r="AJ4" s="235"/>
      <c r="AK4" s="7"/>
      <c r="AL4" s="236" t="s">
        <v>12</v>
      </c>
      <c r="AM4" s="237"/>
      <c r="AN4" s="237"/>
      <c r="AO4" s="237"/>
      <c r="AP4" s="237"/>
      <c r="AQ4" s="237"/>
      <c r="AR4" s="8"/>
      <c r="AS4" s="238" t="s">
        <v>13</v>
      </c>
      <c r="AT4" s="239"/>
      <c r="AU4" s="239"/>
      <c r="AV4" s="239"/>
      <c r="AW4" s="240"/>
      <c r="AX4" s="218" t="s">
        <v>14</v>
      </c>
      <c r="AY4" s="219"/>
      <c r="AZ4" s="219"/>
      <c r="BA4" s="219"/>
      <c r="BB4" s="220"/>
    </row>
    <row r="5" spans="19:54" ht="52.5" customHeight="1">
      <c r="S5" s="246" t="s">
        <v>15</v>
      </c>
      <c r="T5" s="248" t="s">
        <v>16</v>
      </c>
      <c r="U5" s="248" t="s">
        <v>17</v>
      </c>
      <c r="V5" s="248" t="s">
        <v>18</v>
      </c>
      <c r="W5" s="248" t="s">
        <v>19</v>
      </c>
      <c r="X5" s="248" t="s">
        <v>20</v>
      </c>
      <c r="Y5" s="248" t="s">
        <v>21</v>
      </c>
      <c r="Z5" s="250" t="s">
        <v>22</v>
      </c>
      <c r="AA5" s="252" t="s">
        <v>23</v>
      </c>
      <c r="AB5" s="270" t="s">
        <v>9</v>
      </c>
      <c r="AC5" s="272" t="s">
        <v>24</v>
      </c>
      <c r="AD5" s="272" t="s">
        <v>25</v>
      </c>
      <c r="AE5" s="274" t="s">
        <v>26</v>
      </c>
      <c r="AF5" s="209" t="s">
        <v>27</v>
      </c>
      <c r="AG5" s="209" t="s">
        <v>28</v>
      </c>
      <c r="AH5" s="263" t="s">
        <v>29</v>
      </c>
      <c r="AI5" s="263" t="s">
        <v>30</v>
      </c>
      <c r="AJ5" s="265" t="s">
        <v>31</v>
      </c>
      <c r="AK5" s="267" t="s">
        <v>32</v>
      </c>
      <c r="AL5" s="268"/>
      <c r="AM5" s="268"/>
      <c r="AN5" s="268"/>
      <c r="AO5" s="268"/>
      <c r="AP5" s="268"/>
      <c r="AQ5" s="268"/>
      <c r="AR5" s="269"/>
      <c r="AS5" s="259" t="s">
        <v>33</v>
      </c>
      <c r="AT5" s="259" t="s">
        <v>34</v>
      </c>
      <c r="AU5" s="259" t="s">
        <v>35</v>
      </c>
      <c r="AV5" s="259" t="s">
        <v>66</v>
      </c>
      <c r="AW5" s="261" t="s">
        <v>36</v>
      </c>
      <c r="AX5" s="252" t="s">
        <v>37</v>
      </c>
      <c r="AY5" s="221" t="s">
        <v>38</v>
      </c>
      <c r="AZ5" s="221" t="s">
        <v>39</v>
      </c>
      <c r="BA5" s="221" t="s">
        <v>40</v>
      </c>
      <c r="BB5" s="223" t="s">
        <v>41</v>
      </c>
    </row>
    <row r="6" spans="19:54" ht="27.95" customHeight="1" thickBot="1">
      <c r="S6" s="247"/>
      <c r="T6" s="249"/>
      <c r="U6" s="249"/>
      <c r="V6" s="249"/>
      <c r="W6" s="249"/>
      <c r="X6" s="249"/>
      <c r="Y6" s="249"/>
      <c r="Z6" s="251"/>
      <c r="AA6" s="253"/>
      <c r="AB6" s="271"/>
      <c r="AC6" s="273"/>
      <c r="AD6" s="273"/>
      <c r="AE6" s="275"/>
      <c r="AF6" s="210"/>
      <c r="AG6" s="210"/>
      <c r="AH6" s="264"/>
      <c r="AI6" s="264"/>
      <c r="AJ6" s="266"/>
      <c r="AK6" s="9">
        <v>1</v>
      </c>
      <c r="AL6" s="10">
        <v>2</v>
      </c>
      <c r="AM6" s="10">
        <v>3</v>
      </c>
      <c r="AN6" s="10">
        <v>4</v>
      </c>
      <c r="AO6" s="10">
        <v>5</v>
      </c>
      <c r="AP6" s="10">
        <v>6</v>
      </c>
      <c r="AQ6" s="10">
        <v>12</v>
      </c>
      <c r="AR6" s="11"/>
      <c r="AS6" s="260"/>
      <c r="AT6" s="260"/>
      <c r="AU6" s="260"/>
      <c r="AV6" s="260"/>
      <c r="AW6" s="262"/>
      <c r="AX6" s="253"/>
      <c r="AY6" s="222"/>
      <c r="AZ6" s="222"/>
      <c r="BA6" s="222"/>
      <c r="BB6" s="224"/>
    </row>
    <row r="7" spans="19:54" s="34" customFormat="1" ht="48" customHeight="1" thickBot="1">
      <c r="S7" s="12">
        <v>1</v>
      </c>
      <c r="T7" s="241" t="s">
        <v>1</v>
      </c>
      <c r="U7" s="35"/>
      <c r="V7" s="172"/>
      <c r="W7" s="172"/>
      <c r="X7" s="36"/>
      <c r="Y7" s="36"/>
      <c r="Z7" s="18">
        <f t="shared" ref="Z7:Z15" si="0">IF(Y7&lt;X7,1+Y7-X7,Y7-X7)</f>
        <v>0</v>
      </c>
      <c r="AA7" s="19"/>
      <c r="AB7" s="20"/>
      <c r="AC7" s="147"/>
      <c r="AD7" s="101"/>
      <c r="AE7" s="41"/>
      <c r="AF7" s="42"/>
      <c r="AG7" s="42"/>
      <c r="AH7" s="42"/>
      <c r="AI7" s="42"/>
      <c r="AJ7" s="43"/>
      <c r="AK7" s="44"/>
      <c r="AL7" s="45"/>
      <c r="AM7" s="45"/>
      <c r="AN7" s="45"/>
      <c r="AO7" s="45"/>
      <c r="AP7" s="45"/>
      <c r="AQ7" s="45"/>
      <c r="AR7" s="46"/>
      <c r="AS7" s="47"/>
      <c r="AT7" s="35"/>
      <c r="AU7" s="35"/>
      <c r="AV7" s="35"/>
      <c r="AW7" s="48"/>
      <c r="AX7" s="30">
        <f t="shared" ref="AX7:AX15" si="1">SUM(AY7:BB7)</f>
        <v>0</v>
      </c>
      <c r="AY7" s="31">
        <v>0</v>
      </c>
      <c r="AZ7" s="32">
        <v>0</v>
      </c>
      <c r="BA7" s="31">
        <v>0</v>
      </c>
      <c r="BB7" s="33">
        <f t="shared" ref="BB7:BB15" si="2">SUM(($AQ$6*AQ7+$AP$6*AP7+$AN$6*AN7+$AM$6*$AM7+$AL$6*AL7+$AK$6*AK7+$AO$6*AO7+$AR$6*AR7)*175)</f>
        <v>0</v>
      </c>
    </row>
    <row r="8" spans="19:54" s="34" customFormat="1" ht="48" customHeight="1" thickBot="1">
      <c r="S8" s="12">
        <v>2</v>
      </c>
      <c r="T8" s="242"/>
      <c r="U8" s="58"/>
      <c r="V8" s="59"/>
      <c r="W8" s="59"/>
      <c r="X8" s="60"/>
      <c r="Y8" s="60"/>
      <c r="Z8" s="37">
        <f t="shared" si="0"/>
        <v>0</v>
      </c>
      <c r="AA8" s="38"/>
      <c r="AB8" s="39"/>
      <c r="AC8" s="40"/>
      <c r="AD8" s="101"/>
      <c r="AE8" s="41"/>
      <c r="AF8" s="42"/>
      <c r="AG8" s="42"/>
      <c r="AH8" s="42"/>
      <c r="AI8" s="42"/>
      <c r="AJ8" s="43"/>
      <c r="AK8" s="44"/>
      <c r="AL8" s="45"/>
      <c r="AM8" s="45"/>
      <c r="AN8" s="45"/>
      <c r="AO8" s="45"/>
      <c r="AP8" s="45"/>
      <c r="AQ8" s="45"/>
      <c r="AR8" s="46"/>
      <c r="AS8" s="47"/>
      <c r="AT8" s="35"/>
      <c r="AU8" s="35"/>
      <c r="AV8" s="35"/>
      <c r="AW8" s="48"/>
      <c r="AX8" s="49">
        <f t="shared" si="1"/>
        <v>0</v>
      </c>
      <c r="AY8" s="50">
        <v>0</v>
      </c>
      <c r="AZ8" s="51">
        <v>0</v>
      </c>
      <c r="BA8" s="52">
        <v>0</v>
      </c>
      <c r="BB8" s="53">
        <f t="shared" si="2"/>
        <v>0</v>
      </c>
    </row>
    <row r="9" spans="19:54" s="34" customFormat="1" ht="48" customHeight="1" thickBot="1">
      <c r="S9" s="12">
        <v>3</v>
      </c>
      <c r="T9" s="242"/>
      <c r="U9" s="35"/>
      <c r="V9" s="119"/>
      <c r="W9" s="119"/>
      <c r="X9" s="36"/>
      <c r="Y9" s="36"/>
      <c r="Z9" s="37">
        <f t="shared" si="0"/>
        <v>0</v>
      </c>
      <c r="AA9" s="38"/>
      <c r="AB9" s="39"/>
      <c r="AC9" s="40"/>
      <c r="AD9" s="101"/>
      <c r="AE9" s="41"/>
      <c r="AF9" s="42"/>
      <c r="AG9" s="42"/>
      <c r="AH9" s="42"/>
      <c r="AI9" s="42"/>
      <c r="AJ9" s="43"/>
      <c r="AK9" s="44"/>
      <c r="AL9" s="45"/>
      <c r="AM9" s="45"/>
      <c r="AN9" s="45"/>
      <c r="AO9" s="45"/>
      <c r="AP9" s="45"/>
      <c r="AQ9" s="45"/>
      <c r="AR9" s="46"/>
      <c r="AS9" s="47"/>
      <c r="AT9" s="35"/>
      <c r="AU9" s="35"/>
      <c r="AV9" s="35"/>
      <c r="AW9" s="48"/>
      <c r="AX9" s="49">
        <f t="shared" si="1"/>
        <v>0</v>
      </c>
      <c r="AY9" s="51">
        <v>0</v>
      </c>
      <c r="AZ9" s="52">
        <v>0</v>
      </c>
      <c r="BA9" s="51">
        <v>0</v>
      </c>
      <c r="BB9" s="53">
        <f t="shared" si="2"/>
        <v>0</v>
      </c>
    </row>
    <row r="10" spans="19:54" s="34" customFormat="1" ht="48" customHeight="1" thickBot="1">
      <c r="S10" s="12">
        <v>4</v>
      </c>
      <c r="T10" s="243" t="s">
        <v>5</v>
      </c>
      <c r="U10" s="35"/>
      <c r="V10" s="119"/>
      <c r="W10" s="119"/>
      <c r="X10" s="36"/>
      <c r="Y10" s="36"/>
      <c r="Z10" s="37">
        <f t="shared" si="0"/>
        <v>0</v>
      </c>
      <c r="AA10" s="38"/>
      <c r="AB10" s="39"/>
      <c r="AC10" s="40"/>
      <c r="AD10" s="101"/>
      <c r="AE10" s="41"/>
      <c r="AF10" s="42"/>
      <c r="AG10" s="42"/>
      <c r="AH10" s="42"/>
      <c r="AI10" s="42"/>
      <c r="AJ10" s="43"/>
      <c r="AK10" s="44"/>
      <c r="AL10" s="45"/>
      <c r="AM10" s="45"/>
      <c r="AN10" s="45"/>
      <c r="AO10" s="45"/>
      <c r="AP10" s="45"/>
      <c r="AQ10" s="45"/>
      <c r="AR10" s="46"/>
      <c r="AS10" s="47"/>
      <c r="AT10" s="35"/>
      <c r="AU10" s="35"/>
      <c r="AV10" s="35"/>
      <c r="AW10" s="48"/>
      <c r="AX10" s="49">
        <f t="shared" si="1"/>
        <v>0</v>
      </c>
      <c r="AY10" s="51">
        <v>0</v>
      </c>
      <c r="AZ10" s="52">
        <v>0</v>
      </c>
      <c r="BA10" s="51">
        <v>0</v>
      </c>
      <c r="BB10" s="53">
        <f t="shared" si="2"/>
        <v>0</v>
      </c>
    </row>
    <row r="11" spans="19:54" s="34" customFormat="1" ht="48" customHeight="1" thickBot="1">
      <c r="S11" s="12">
        <v>5</v>
      </c>
      <c r="T11" s="243"/>
      <c r="U11" s="35"/>
      <c r="V11" s="119"/>
      <c r="W11" s="119"/>
      <c r="X11" s="36"/>
      <c r="Y11" s="120"/>
      <c r="Z11" s="37">
        <f t="shared" si="0"/>
        <v>0</v>
      </c>
      <c r="AA11" s="38"/>
      <c r="AB11" s="39"/>
      <c r="AC11" s="147"/>
      <c r="AD11" s="101"/>
      <c r="AE11" s="41"/>
      <c r="AF11" s="42"/>
      <c r="AG11" s="42"/>
      <c r="AH11" s="42"/>
      <c r="AI11" s="42"/>
      <c r="AJ11" s="43"/>
      <c r="AK11" s="44"/>
      <c r="AL11" s="45"/>
      <c r="AM11" s="45"/>
      <c r="AN11" s="45"/>
      <c r="AO11" s="45"/>
      <c r="AP11" s="45"/>
      <c r="AQ11" s="45"/>
      <c r="AR11" s="46"/>
      <c r="AS11" s="47"/>
      <c r="AT11" s="35"/>
      <c r="AU11" s="35"/>
      <c r="AV11" s="35"/>
      <c r="AW11" s="48"/>
      <c r="AX11" s="49">
        <f t="shared" si="1"/>
        <v>0</v>
      </c>
      <c r="AY11" s="50">
        <v>0</v>
      </c>
      <c r="AZ11" s="51">
        <v>0</v>
      </c>
      <c r="BA11" s="52">
        <v>0</v>
      </c>
      <c r="BB11" s="53">
        <f t="shared" si="2"/>
        <v>0</v>
      </c>
    </row>
    <row r="12" spans="19:54" s="34" customFormat="1" ht="48" customHeight="1" thickBot="1">
      <c r="S12" s="12">
        <v>10</v>
      </c>
      <c r="T12" s="243"/>
      <c r="U12" s="13"/>
      <c r="V12" s="14"/>
      <c r="W12" s="14"/>
      <c r="X12" s="54"/>
      <c r="Y12" s="54"/>
      <c r="Z12" s="55">
        <f t="shared" si="0"/>
        <v>0</v>
      </c>
      <c r="AA12" s="19"/>
      <c r="AB12" s="20"/>
      <c r="AC12" s="21"/>
      <c r="AD12" s="100"/>
      <c r="AE12" s="22"/>
      <c r="AF12" s="23"/>
      <c r="AG12" s="23"/>
      <c r="AH12" s="23"/>
      <c r="AI12" s="23"/>
      <c r="AJ12" s="24"/>
      <c r="AK12" s="25"/>
      <c r="AL12" s="26"/>
      <c r="AM12" s="26"/>
      <c r="AN12" s="26"/>
      <c r="AO12" s="26"/>
      <c r="AP12" s="26"/>
      <c r="AQ12" s="26"/>
      <c r="AR12" s="27"/>
      <c r="AS12" s="28"/>
      <c r="AT12" s="13"/>
      <c r="AU12" s="13"/>
      <c r="AV12" s="13"/>
      <c r="AW12" s="29"/>
      <c r="AX12" s="30">
        <f t="shared" si="1"/>
        <v>0</v>
      </c>
      <c r="AY12" s="31">
        <v>0</v>
      </c>
      <c r="AZ12" s="32">
        <v>0</v>
      </c>
      <c r="BA12" s="31">
        <v>0</v>
      </c>
      <c r="BB12" s="56">
        <f t="shared" si="2"/>
        <v>0</v>
      </c>
    </row>
    <row r="13" spans="19:54" s="34" customFormat="1" ht="48" customHeight="1" thickBot="1">
      <c r="S13" s="12">
        <v>11</v>
      </c>
      <c r="T13" s="244" t="s">
        <v>65</v>
      </c>
      <c r="U13" s="35"/>
      <c r="V13" s="119"/>
      <c r="W13" s="119"/>
      <c r="X13" s="36"/>
      <c r="Y13" s="36"/>
      <c r="Z13" s="37">
        <f t="shared" si="0"/>
        <v>0</v>
      </c>
      <c r="AA13" s="38"/>
      <c r="AB13" s="39"/>
      <c r="AC13" s="40"/>
      <c r="AD13" s="101"/>
      <c r="AE13" s="41"/>
      <c r="AF13" s="42"/>
      <c r="AG13" s="42"/>
      <c r="AH13" s="42"/>
      <c r="AI13" s="42"/>
      <c r="AJ13" s="43"/>
      <c r="AK13" s="44"/>
      <c r="AL13" s="45"/>
      <c r="AM13" s="45"/>
      <c r="AN13" s="45"/>
      <c r="AO13" s="45"/>
      <c r="AP13" s="45"/>
      <c r="AQ13" s="45"/>
      <c r="AR13" s="46"/>
      <c r="AS13" s="47"/>
      <c r="AT13" s="35"/>
      <c r="AU13" s="35"/>
      <c r="AV13" s="35"/>
      <c r="AW13" s="48"/>
      <c r="AX13" s="49">
        <f t="shared" si="1"/>
        <v>0</v>
      </c>
      <c r="AY13" s="50">
        <v>0</v>
      </c>
      <c r="AZ13" s="51">
        <v>0</v>
      </c>
      <c r="BA13" s="52">
        <v>0</v>
      </c>
      <c r="BB13" s="57">
        <f t="shared" si="2"/>
        <v>0</v>
      </c>
    </row>
    <row r="14" spans="19:54" s="34" customFormat="1" ht="48" customHeight="1" thickBot="1">
      <c r="S14" s="12">
        <v>12</v>
      </c>
      <c r="T14" s="244"/>
      <c r="U14" s="35"/>
      <c r="V14" s="119"/>
      <c r="W14" s="119"/>
      <c r="X14" s="36"/>
      <c r="Y14" s="36"/>
      <c r="Z14" s="37">
        <f t="shared" si="0"/>
        <v>0</v>
      </c>
      <c r="AA14" s="38"/>
      <c r="AB14" s="39"/>
      <c r="AC14" s="147"/>
      <c r="AD14" s="101"/>
      <c r="AE14" s="41"/>
      <c r="AF14" s="42"/>
      <c r="AG14" s="42"/>
      <c r="AH14" s="42"/>
      <c r="AI14" s="42"/>
      <c r="AJ14" s="43"/>
      <c r="AK14" s="44"/>
      <c r="AL14" s="45"/>
      <c r="AM14" s="45"/>
      <c r="AN14" s="45"/>
      <c r="AO14" s="45"/>
      <c r="AP14" s="45"/>
      <c r="AQ14" s="45"/>
      <c r="AR14" s="46"/>
      <c r="AS14" s="47"/>
      <c r="AT14" s="35"/>
      <c r="AU14" s="35"/>
      <c r="AV14" s="35"/>
      <c r="AW14" s="48"/>
      <c r="AX14" s="49">
        <f t="shared" si="1"/>
        <v>0</v>
      </c>
      <c r="AY14" s="51">
        <v>0</v>
      </c>
      <c r="AZ14" s="52">
        <v>0</v>
      </c>
      <c r="BA14" s="51">
        <v>0</v>
      </c>
      <c r="BB14" s="57">
        <f t="shared" si="2"/>
        <v>0</v>
      </c>
    </row>
    <row r="15" spans="19:54" s="34" customFormat="1" ht="48" customHeight="1" thickBot="1">
      <c r="S15" s="12">
        <v>13</v>
      </c>
      <c r="T15" s="245"/>
      <c r="U15" s="58"/>
      <c r="V15" s="59"/>
      <c r="W15" s="59"/>
      <c r="X15" s="60"/>
      <c r="Y15" s="60"/>
      <c r="Z15" s="61">
        <f t="shared" si="0"/>
        <v>0</v>
      </c>
      <c r="AA15" s="62"/>
      <c r="AB15" s="63"/>
      <c r="AC15" s="64"/>
      <c r="AD15" s="102"/>
      <c r="AE15" s="65"/>
      <c r="AF15" s="66"/>
      <c r="AG15" s="67"/>
      <c r="AH15" s="67"/>
      <c r="AI15" s="67"/>
      <c r="AJ15" s="66"/>
      <c r="AK15" s="68"/>
      <c r="AL15" s="69"/>
      <c r="AM15" s="69"/>
      <c r="AN15" s="69"/>
      <c r="AO15" s="69"/>
      <c r="AP15" s="69"/>
      <c r="AQ15" s="69"/>
      <c r="AR15" s="70"/>
      <c r="AS15" s="71"/>
      <c r="AT15" s="35"/>
      <c r="AU15" s="35"/>
      <c r="AV15" s="35"/>
      <c r="AW15" s="48"/>
      <c r="AX15" s="49">
        <f t="shared" si="1"/>
        <v>0</v>
      </c>
      <c r="AY15" s="50">
        <v>0</v>
      </c>
      <c r="AZ15" s="51">
        <v>0</v>
      </c>
      <c r="BA15" s="52">
        <v>0</v>
      </c>
      <c r="BB15" s="57">
        <f t="shared" si="2"/>
        <v>0</v>
      </c>
    </row>
    <row r="16" spans="19:54" s="72" customFormat="1" ht="50.1" customHeight="1">
      <c r="S16" s="254" t="s">
        <v>42</v>
      </c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5" t="s">
        <v>53</v>
      </c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6" t="s">
        <v>43</v>
      </c>
      <c r="AU16" s="257"/>
      <c r="AV16" s="257"/>
      <c r="AW16" s="257"/>
      <c r="AX16" s="257"/>
      <c r="AY16" s="257"/>
      <c r="AZ16" s="257"/>
      <c r="BA16" s="257"/>
      <c r="BB16" s="258"/>
    </row>
    <row r="17" spans="18:62" s="72" customFormat="1" ht="60" customHeight="1">
      <c r="S17" s="73" t="s">
        <v>15</v>
      </c>
      <c r="T17" s="300" t="s">
        <v>44</v>
      </c>
      <c r="U17" s="301"/>
      <c r="V17" s="302" t="s">
        <v>45</v>
      </c>
      <c r="W17" s="303"/>
      <c r="X17" s="74" t="s">
        <v>46</v>
      </c>
      <c r="Y17" s="75" t="s">
        <v>67</v>
      </c>
      <c r="Z17" s="304" t="s">
        <v>47</v>
      </c>
      <c r="AA17" s="304"/>
      <c r="AB17" s="304"/>
      <c r="AC17" s="304"/>
      <c r="AD17" s="304"/>
      <c r="AE17" s="304"/>
      <c r="AF17" s="304"/>
      <c r="AG17" s="305" t="s">
        <v>48</v>
      </c>
      <c r="AH17" s="306"/>
      <c r="AI17" s="307" t="s">
        <v>49</v>
      </c>
      <c r="AJ17" s="307"/>
      <c r="AK17" s="92"/>
      <c r="AL17" s="308" t="s">
        <v>68</v>
      </c>
      <c r="AM17" s="309"/>
      <c r="AN17" s="310"/>
      <c r="AO17" s="288" t="s">
        <v>50</v>
      </c>
      <c r="AP17" s="289"/>
      <c r="AQ17" s="289"/>
      <c r="AR17" s="289"/>
      <c r="AS17" s="289"/>
      <c r="AT17" s="76" t="s">
        <v>51</v>
      </c>
      <c r="AU17" s="290" t="s">
        <v>33</v>
      </c>
      <c r="AV17" s="291"/>
      <c r="AW17" s="77" t="s">
        <v>34</v>
      </c>
      <c r="AX17" s="77" t="s">
        <v>66</v>
      </c>
      <c r="AY17" s="77" t="s">
        <v>35</v>
      </c>
      <c r="AZ17" s="77" t="s">
        <v>36</v>
      </c>
      <c r="BA17" s="292" t="s">
        <v>52</v>
      </c>
      <c r="BB17" s="293"/>
    </row>
    <row r="18" spans="18:62" ht="60.75" customHeight="1">
      <c r="S18" s="78">
        <v>1</v>
      </c>
      <c r="T18" s="294"/>
      <c r="U18" s="295"/>
      <c r="V18" s="280"/>
      <c r="W18" s="281"/>
      <c r="X18" s="79" t="str">
        <f>TEXT(MOD(V18-T18,1),"h:mm")</f>
        <v>0:00</v>
      </c>
      <c r="Y18" s="80"/>
      <c r="Z18" s="282"/>
      <c r="AA18" s="282"/>
      <c r="AB18" s="282"/>
      <c r="AC18" s="282"/>
      <c r="AD18" s="282"/>
      <c r="AE18" s="282"/>
      <c r="AF18" s="282"/>
      <c r="AG18" s="296">
        <f>SUM(AX7:AX9)</f>
        <v>0</v>
      </c>
      <c r="AH18" s="297"/>
      <c r="AI18" s="298">
        <f>SUM(AX10:AX12)</f>
        <v>0</v>
      </c>
      <c r="AJ18" s="298"/>
      <c r="AK18" s="93"/>
      <c r="AL18" s="298">
        <f>SUM(AX13:AX15)</f>
        <v>0</v>
      </c>
      <c r="AM18" s="298"/>
      <c r="AN18" s="298"/>
      <c r="AO18" s="299">
        <f>SUM(AG18:AN18)</f>
        <v>0</v>
      </c>
      <c r="AP18" s="299"/>
      <c r="AQ18" s="299"/>
      <c r="AR18" s="299"/>
      <c r="AS18" s="299"/>
      <c r="AT18" s="81" t="s">
        <v>1</v>
      </c>
      <c r="AU18" s="276">
        <f>SUM(AS7:AS8)</f>
        <v>0</v>
      </c>
      <c r="AV18" s="277"/>
      <c r="AW18" s="82">
        <f>SUM(AT7:AT9)</f>
        <v>0</v>
      </c>
      <c r="AX18" s="82">
        <f>SUM(AV7:AV9)</f>
        <v>0</v>
      </c>
      <c r="AY18" s="82">
        <f>SUM(AU7:AU9)</f>
        <v>0</v>
      </c>
      <c r="AZ18" s="82">
        <f>SUM(AW7:AW9)</f>
        <v>0</v>
      </c>
      <c r="BA18" s="276">
        <f>SUM(AU18:AZ18)</f>
        <v>0</v>
      </c>
      <c r="BB18" s="277"/>
    </row>
    <row r="19" spans="18:62" ht="60.75" customHeight="1">
      <c r="S19" s="78">
        <v>2</v>
      </c>
      <c r="T19" s="278"/>
      <c r="U19" s="279"/>
      <c r="V19" s="280"/>
      <c r="W19" s="281"/>
      <c r="X19" s="79" t="str">
        <f>TEXT(MOD(V19-T19,1),"h:mm")</f>
        <v>0:00</v>
      </c>
      <c r="Y19" s="80"/>
      <c r="Z19" s="282"/>
      <c r="AA19" s="282"/>
      <c r="AB19" s="282"/>
      <c r="AC19" s="282"/>
      <c r="AD19" s="282"/>
      <c r="AE19" s="282"/>
      <c r="AF19" s="282"/>
      <c r="AG19" s="283" t="s">
        <v>41</v>
      </c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5"/>
      <c r="AT19" s="83" t="s">
        <v>5</v>
      </c>
      <c r="AU19" s="286">
        <f>SUM(AS10:AS11)</f>
        <v>0</v>
      </c>
      <c r="AV19" s="287"/>
      <c r="AW19" s="84">
        <f>SUM(AT10:AT12)</f>
        <v>0</v>
      </c>
      <c r="AX19" s="84">
        <f>SUM(AV10:AV12)</f>
        <v>0</v>
      </c>
      <c r="AY19" s="84">
        <f>SUM(AU10:AU12)</f>
        <v>0</v>
      </c>
      <c r="AZ19" s="84">
        <f>SUM(AW10:AW12)</f>
        <v>0</v>
      </c>
      <c r="BA19" s="286">
        <f>SUM(AU19:AZ19)</f>
        <v>0</v>
      </c>
      <c r="BB19" s="287"/>
    </row>
    <row r="20" spans="18:62" ht="60.75" customHeight="1">
      <c r="S20" s="78">
        <v>3</v>
      </c>
      <c r="T20" s="278"/>
      <c r="U20" s="279"/>
      <c r="V20" s="280"/>
      <c r="W20" s="281"/>
      <c r="X20" s="79" t="str">
        <f>TEXT(MOD(V20-T20,1),"h:mm")</f>
        <v>0:00</v>
      </c>
      <c r="Y20" s="80"/>
      <c r="Z20" s="327"/>
      <c r="AA20" s="327"/>
      <c r="AB20" s="327"/>
      <c r="AC20" s="327"/>
      <c r="AD20" s="327"/>
      <c r="AE20" s="327"/>
      <c r="AF20" s="327"/>
      <c r="AG20" s="311">
        <f>SUM(BB7:BB9)</f>
        <v>0</v>
      </c>
      <c r="AH20" s="328"/>
      <c r="AI20" s="311">
        <f>SUM(BB10:BB12)</f>
        <v>0</v>
      </c>
      <c r="AJ20" s="328"/>
      <c r="AK20" s="94"/>
      <c r="AL20" s="311">
        <f>SUM(BB13:BB15)</f>
        <v>0</v>
      </c>
      <c r="AM20" s="329"/>
      <c r="AN20" s="328"/>
      <c r="AO20" s="311">
        <f>SUM(AG20:AN20)</f>
        <v>0</v>
      </c>
      <c r="AP20" s="312"/>
      <c r="AQ20" s="312"/>
      <c r="AR20" s="312"/>
      <c r="AS20" s="313"/>
      <c r="AT20" s="91" t="s">
        <v>65</v>
      </c>
      <c r="AU20" s="314">
        <f>SUM(AS13:AS15)</f>
        <v>0</v>
      </c>
      <c r="AV20" s="315"/>
      <c r="AW20" s="99">
        <f>SUM(AT13:AT15)</f>
        <v>0</v>
      </c>
      <c r="AX20" s="99">
        <f>SUM(AV13:AV15)</f>
        <v>0</v>
      </c>
      <c r="AY20" s="99">
        <f>SUM(AU13:AU15)</f>
        <v>0</v>
      </c>
      <c r="AZ20" s="99">
        <f>SUM(AW13:AW15)</f>
        <v>0</v>
      </c>
      <c r="BA20" s="316">
        <f>SUM(AU20:AZ20)</f>
        <v>0</v>
      </c>
      <c r="BB20" s="317"/>
    </row>
    <row r="21" spans="18:62" ht="60.75" customHeight="1">
      <c r="S21" s="78">
        <v>4</v>
      </c>
      <c r="T21" s="278"/>
      <c r="U21" s="279"/>
      <c r="V21" s="280"/>
      <c r="W21" s="281"/>
      <c r="X21" s="79" t="str">
        <f>TEXT(MOD(V21-T21,1),"h:mm")</f>
        <v>0:00</v>
      </c>
      <c r="Y21" s="80"/>
      <c r="Z21" s="318"/>
      <c r="AA21" s="318"/>
      <c r="AB21" s="318"/>
      <c r="AC21" s="318"/>
      <c r="AD21" s="318"/>
      <c r="AE21" s="318"/>
      <c r="AF21" s="318"/>
      <c r="AG21" s="319" t="s">
        <v>54</v>
      </c>
      <c r="AH21" s="320"/>
      <c r="AI21" s="320"/>
      <c r="AJ21" s="320"/>
      <c r="AK21" s="320"/>
      <c r="AL21" s="320"/>
      <c r="AM21" s="320"/>
      <c r="AN21" s="320"/>
      <c r="AO21" s="320"/>
      <c r="AP21" s="320"/>
      <c r="AQ21" s="320"/>
      <c r="AR21" s="320"/>
      <c r="AS21" s="321"/>
      <c r="AT21" s="322" t="s">
        <v>55</v>
      </c>
      <c r="AU21" s="323"/>
      <c r="AV21" s="324"/>
      <c r="AW21" s="325">
        <v>1690</v>
      </c>
      <c r="AX21" s="326"/>
      <c r="AY21" s="322" t="s">
        <v>56</v>
      </c>
      <c r="AZ21" s="324"/>
      <c r="BA21" s="330">
        <v>1628</v>
      </c>
      <c r="BB21" s="331"/>
    </row>
    <row r="22" spans="18:62" ht="54" customHeight="1">
      <c r="S22" s="78">
        <v>5</v>
      </c>
      <c r="T22" s="278"/>
      <c r="U22" s="279"/>
      <c r="V22" s="280"/>
      <c r="W22" s="281"/>
      <c r="X22" s="79" t="str">
        <f>TEXT(MOD(V22-T22,1),"h:mm")</f>
        <v>0:00</v>
      </c>
      <c r="Y22" s="80"/>
      <c r="Z22" s="318"/>
      <c r="AA22" s="318"/>
      <c r="AB22" s="318"/>
      <c r="AC22" s="318"/>
      <c r="AD22" s="318"/>
      <c r="AE22" s="318"/>
      <c r="AF22" s="318"/>
      <c r="AG22" s="357">
        <f>SUM(AY7:BA9)</f>
        <v>0</v>
      </c>
      <c r="AH22" s="357"/>
      <c r="AI22" s="298">
        <f>SUM(AY10:BA12)</f>
        <v>0</v>
      </c>
      <c r="AJ22" s="298"/>
      <c r="AK22" s="95"/>
      <c r="AL22" s="358">
        <f>SUM(AY13:BA15)</f>
        <v>0</v>
      </c>
      <c r="AM22" s="358"/>
      <c r="AN22" s="359"/>
      <c r="AO22" s="360">
        <f>SUM(AG22:AN22)</f>
        <v>0</v>
      </c>
      <c r="AP22" s="361"/>
      <c r="AQ22" s="361"/>
      <c r="AR22" s="361"/>
      <c r="AS22" s="362"/>
      <c r="AT22" s="98" t="s">
        <v>69</v>
      </c>
      <c r="AU22" s="363" t="s">
        <v>48</v>
      </c>
      <c r="AV22" s="364"/>
      <c r="AW22" s="365" t="s">
        <v>49</v>
      </c>
      <c r="AX22" s="366"/>
      <c r="AY22" s="332" t="s">
        <v>68</v>
      </c>
      <c r="AZ22" s="333"/>
      <c r="BA22" s="334" t="s">
        <v>57</v>
      </c>
      <c r="BB22" s="335"/>
    </row>
    <row r="23" spans="18:62" ht="59.25" customHeight="1">
      <c r="S23" s="336" t="s">
        <v>61</v>
      </c>
      <c r="T23" s="337"/>
      <c r="U23" s="337"/>
      <c r="V23" s="337"/>
      <c r="W23" s="338"/>
      <c r="X23" s="85">
        <f>SUM(X18+X19+X20+X21+X22)</f>
        <v>0</v>
      </c>
      <c r="Y23" s="118" t="s">
        <v>62</v>
      </c>
      <c r="Z23" s="86"/>
      <c r="AA23" s="87"/>
      <c r="AB23" s="87"/>
      <c r="AC23" s="339" t="s">
        <v>63</v>
      </c>
      <c r="AD23" s="339"/>
      <c r="AE23" s="340"/>
      <c r="AF23" s="341"/>
      <c r="AG23" s="342" t="s">
        <v>22</v>
      </c>
      <c r="AH23" s="343"/>
      <c r="AI23" s="344"/>
      <c r="AJ23" s="345" t="s">
        <v>48</v>
      </c>
      <c r="AK23" s="346"/>
      <c r="AL23" s="346"/>
      <c r="AM23" s="347"/>
      <c r="AN23" s="348" t="s">
        <v>49</v>
      </c>
      <c r="AO23" s="348"/>
      <c r="AP23" s="348"/>
      <c r="AQ23" s="349" t="s">
        <v>68</v>
      </c>
      <c r="AR23" s="350"/>
      <c r="AS23" s="351"/>
      <c r="AT23" s="96" t="s">
        <v>60</v>
      </c>
      <c r="AU23" s="352">
        <f>SUM(AQ7:AQ8)</f>
        <v>0</v>
      </c>
      <c r="AV23" s="353"/>
      <c r="AW23" s="352">
        <f>SUM(AQ10:AQ12)</f>
        <v>0</v>
      </c>
      <c r="AX23" s="354"/>
      <c r="AY23" s="352">
        <f>SUM(AQ13:AQ15)</f>
        <v>0</v>
      </c>
      <c r="AZ23" s="353"/>
      <c r="BA23" s="355">
        <f>SUM(AU23:AZ23)</f>
        <v>0</v>
      </c>
      <c r="BB23" s="356"/>
    </row>
    <row r="24" spans="18:62" ht="57" customHeight="1">
      <c r="S24" s="367"/>
      <c r="T24" s="368"/>
      <c r="U24" s="368"/>
      <c r="V24" s="368"/>
      <c r="W24" s="369"/>
      <c r="X24" s="373" t="s">
        <v>73</v>
      </c>
      <c r="Y24" s="104" t="s">
        <v>70</v>
      </c>
      <c r="Z24" s="105" t="s">
        <v>71</v>
      </c>
      <c r="AA24" s="103"/>
      <c r="AB24" s="103"/>
      <c r="AC24" s="375" t="s">
        <v>72</v>
      </c>
      <c r="AD24" s="376"/>
      <c r="AE24" s="377" t="s">
        <v>57</v>
      </c>
      <c r="AF24" s="378"/>
      <c r="AG24" s="379" t="s">
        <v>58</v>
      </c>
      <c r="AH24" s="380"/>
      <c r="AI24" s="381"/>
      <c r="AJ24" s="382">
        <f>AVERAGE(Z7:Z9)</f>
        <v>0</v>
      </c>
      <c r="AK24" s="383"/>
      <c r="AL24" s="383"/>
      <c r="AM24" s="383"/>
      <c r="AN24" s="382">
        <f>AVERAGE(Z10)</f>
        <v>0</v>
      </c>
      <c r="AO24" s="383"/>
      <c r="AP24" s="383"/>
      <c r="AQ24" s="382">
        <f>AVERAGE(Z13:Z15)</f>
        <v>0</v>
      </c>
      <c r="AR24" s="383"/>
      <c r="AS24" s="383"/>
      <c r="AT24" s="97" t="s">
        <v>64</v>
      </c>
      <c r="AU24" s="387">
        <f>SUM(AL7:AP9)</f>
        <v>0</v>
      </c>
      <c r="AV24" s="388"/>
      <c r="AW24" s="387">
        <f>SUM(AL10:AP12)</f>
        <v>0</v>
      </c>
      <c r="AX24" s="388"/>
      <c r="AY24" s="387">
        <f>SUM(AL13:AP15)</f>
        <v>0</v>
      </c>
      <c r="AZ24" s="388"/>
      <c r="BA24" s="389">
        <f>SUM(AU24:AZ24)</f>
        <v>0</v>
      </c>
      <c r="BB24" s="390"/>
    </row>
    <row r="25" spans="18:62" ht="52.5" customHeight="1">
      <c r="S25" s="370"/>
      <c r="T25" s="371"/>
      <c r="U25" s="371"/>
      <c r="V25" s="371"/>
      <c r="W25" s="372"/>
      <c r="X25" s="374"/>
      <c r="Y25" s="106">
        <f>SUM(AD7:AD8)</f>
        <v>0</v>
      </c>
      <c r="Z25" s="106">
        <f>SUM(AD10:AD11)</f>
        <v>0</v>
      </c>
      <c r="AA25" s="107"/>
      <c r="AB25" s="107"/>
      <c r="AC25" s="391">
        <f>SUM(AD13:AD15)</f>
        <v>0</v>
      </c>
      <c r="AD25" s="392"/>
      <c r="AE25" s="393">
        <f>SUM(Y25:AD25)</f>
        <v>0</v>
      </c>
      <c r="AF25" s="394"/>
      <c r="AG25" s="379" t="s">
        <v>59</v>
      </c>
      <c r="AH25" s="380"/>
      <c r="AI25" s="381"/>
      <c r="AJ25" s="382">
        <f>SUM(Z7:Z9)</f>
        <v>0</v>
      </c>
      <c r="AK25" s="383"/>
      <c r="AL25" s="383"/>
      <c r="AM25" s="383"/>
      <c r="AN25" s="382">
        <f>SUM(Z10:Z12)</f>
        <v>0</v>
      </c>
      <c r="AO25" s="383"/>
      <c r="AP25" s="383"/>
      <c r="AQ25" s="382">
        <f>SUM(Z13:Z15)</f>
        <v>0</v>
      </c>
      <c r="AR25" s="383"/>
      <c r="AS25" s="383"/>
      <c r="AT25" s="384"/>
      <c r="AU25" s="385"/>
      <c r="AV25" s="385"/>
      <c r="AW25" s="385"/>
      <c r="AX25" s="385"/>
      <c r="AY25" s="385"/>
      <c r="AZ25" s="385"/>
      <c r="BA25" s="385"/>
      <c r="BB25" s="386"/>
    </row>
    <row r="26" spans="18:62" ht="60.75" customHeight="1"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8:62" ht="30" customHeight="1"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8:62" ht="30" customHeight="1"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T28" s="4"/>
      <c r="AU28" s="4"/>
      <c r="AV28" s="4"/>
      <c r="AW28" s="4"/>
      <c r="AX28" s="4"/>
      <c r="AY28" s="4"/>
      <c r="AZ28" s="4"/>
      <c r="BA28" s="4"/>
    </row>
    <row r="29" spans="18:62" ht="30" customHeight="1"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T29" s="4"/>
      <c r="AU29" s="4"/>
      <c r="AV29" s="4"/>
      <c r="AW29" s="4"/>
      <c r="AX29" s="4"/>
      <c r="AY29" s="4"/>
      <c r="AZ29" s="4"/>
      <c r="BA29" s="4"/>
    </row>
    <row r="30" spans="18:62" ht="30" customHeight="1">
      <c r="R30" s="3"/>
      <c r="S30" s="3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T30" s="4"/>
      <c r="AU30" s="4"/>
      <c r="AV30" s="4"/>
      <c r="AW30" s="4"/>
      <c r="AX30" s="4"/>
      <c r="AY30" s="4"/>
      <c r="AZ30" s="4"/>
      <c r="BA30" s="4"/>
    </row>
    <row r="31" spans="18:62" ht="30" customHeight="1">
      <c r="R31" s="3"/>
      <c r="S31" s="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T31" s="4"/>
      <c r="AU31" s="4"/>
      <c r="AV31" s="4"/>
      <c r="AW31" s="4"/>
      <c r="AX31" s="4"/>
      <c r="AY31" s="4"/>
      <c r="AZ31" s="4"/>
      <c r="BA31" s="4"/>
    </row>
    <row r="32" spans="18:62" ht="15" customHeight="1">
      <c r="S32" s="3"/>
      <c r="BJ32" s="4">
        <v>8</v>
      </c>
    </row>
  </sheetData>
  <mergeCells count="145">
    <mergeCell ref="S24:W25"/>
    <mergeCell ref="X24:X25"/>
    <mergeCell ref="AC24:AD24"/>
    <mergeCell ref="AE24:AF24"/>
    <mergeCell ref="AG24:AI24"/>
    <mergeCell ref="AJ24:AM24"/>
    <mergeCell ref="AN24:AP24"/>
    <mergeCell ref="AQ25:AS25"/>
    <mergeCell ref="AT25:BB25"/>
    <mergeCell ref="AQ24:AS24"/>
    <mergeCell ref="AU24:AV24"/>
    <mergeCell ref="AW24:AX24"/>
    <mergeCell ref="AY24:AZ24"/>
    <mergeCell ref="BA24:BB24"/>
    <mergeCell ref="AC25:AD25"/>
    <mergeCell ref="AE25:AF25"/>
    <mergeCell ref="AG25:AI25"/>
    <mergeCell ref="AJ25:AM25"/>
    <mergeCell ref="AN25:AP25"/>
    <mergeCell ref="AY22:AZ22"/>
    <mergeCell ref="BA22:BB22"/>
    <mergeCell ref="S23:W23"/>
    <mergeCell ref="AC23:AD23"/>
    <mergeCell ref="AE23:AF23"/>
    <mergeCell ref="AG23:AI23"/>
    <mergeCell ref="AJ23:AM23"/>
    <mergeCell ref="AN23:AP23"/>
    <mergeCell ref="AQ23:AS23"/>
    <mergeCell ref="AU23:AV23"/>
    <mergeCell ref="AW23:AX23"/>
    <mergeCell ref="AY23:AZ23"/>
    <mergeCell ref="BA23:BB23"/>
    <mergeCell ref="T22:U22"/>
    <mergeCell ref="V22:W22"/>
    <mergeCell ref="Z22:AF22"/>
    <mergeCell ref="AG22:AH22"/>
    <mergeCell ref="AI22:AJ22"/>
    <mergeCell ref="AL22:AN22"/>
    <mergeCell ref="AO22:AS22"/>
    <mergeCell ref="AU22:AV22"/>
    <mergeCell ref="AW22:AX22"/>
    <mergeCell ref="AO20:AS20"/>
    <mergeCell ref="AU20:AV20"/>
    <mergeCell ref="BA20:BB20"/>
    <mergeCell ref="T21:U21"/>
    <mergeCell ref="V21:W21"/>
    <mergeCell ref="Z21:AF21"/>
    <mergeCell ref="AG21:AS21"/>
    <mergeCell ref="AT21:AV21"/>
    <mergeCell ref="AW21:AX21"/>
    <mergeCell ref="AY21:AZ21"/>
    <mergeCell ref="T20:U20"/>
    <mergeCell ref="V20:W20"/>
    <mergeCell ref="Z20:AF20"/>
    <mergeCell ref="AG20:AH20"/>
    <mergeCell ref="AI20:AJ20"/>
    <mergeCell ref="AL20:AN20"/>
    <mergeCell ref="BA21:BB21"/>
    <mergeCell ref="AU18:AV18"/>
    <mergeCell ref="BA18:BB18"/>
    <mergeCell ref="T19:U19"/>
    <mergeCell ref="V19:W19"/>
    <mergeCell ref="Z19:AF19"/>
    <mergeCell ref="AG19:AS19"/>
    <mergeCell ref="AU19:AV19"/>
    <mergeCell ref="BA19:BB19"/>
    <mergeCell ref="AO17:AS17"/>
    <mergeCell ref="AU17:AV17"/>
    <mergeCell ref="BA17:BB17"/>
    <mergeCell ref="T18:U18"/>
    <mergeCell ref="V18:W18"/>
    <mergeCell ref="Z18:AF18"/>
    <mergeCell ref="AG18:AH18"/>
    <mergeCell ref="AI18:AJ18"/>
    <mergeCell ref="AL18:AN18"/>
    <mergeCell ref="AO18:AS18"/>
    <mergeCell ref="T17:U17"/>
    <mergeCell ref="V17:W17"/>
    <mergeCell ref="Z17:AF17"/>
    <mergeCell ref="AG17:AH17"/>
    <mergeCell ref="AI17:AJ17"/>
    <mergeCell ref="AL17:AN17"/>
    <mergeCell ref="S16:AF16"/>
    <mergeCell ref="AG16:AS16"/>
    <mergeCell ref="AT16:BB16"/>
    <mergeCell ref="AU5:AU6"/>
    <mergeCell ref="AV5:AV6"/>
    <mergeCell ref="AW5:AW6"/>
    <mergeCell ref="AX5:AX6"/>
    <mergeCell ref="AY5:AY6"/>
    <mergeCell ref="AZ5:AZ6"/>
    <mergeCell ref="AH5:AH6"/>
    <mergeCell ref="AI5:AI6"/>
    <mergeCell ref="AJ5:AJ6"/>
    <mergeCell ref="AK5:AR5"/>
    <mergeCell ref="AS5:AS6"/>
    <mergeCell ref="AT5:AT6"/>
    <mergeCell ref="AB5:AB6"/>
    <mergeCell ref="AC5:AC6"/>
    <mergeCell ref="AD5:AD6"/>
    <mergeCell ref="AE5:AE6"/>
    <mergeCell ref="S4:Z4"/>
    <mergeCell ref="AA4:AB4"/>
    <mergeCell ref="AC4:AD4"/>
    <mergeCell ref="AE4:AJ4"/>
    <mergeCell ref="AL4:AQ4"/>
    <mergeCell ref="AS4:AW4"/>
    <mergeCell ref="T7:T9"/>
    <mergeCell ref="T10:T12"/>
    <mergeCell ref="T13:T15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Q1:AT1"/>
    <mergeCell ref="AU1:AW1"/>
    <mergeCell ref="AF5:AF6"/>
    <mergeCell ref="AG5:AG6"/>
    <mergeCell ref="AX1:BB3"/>
    <mergeCell ref="AC2:AE2"/>
    <mergeCell ref="AF2:AH2"/>
    <mergeCell ref="AI2:AL2"/>
    <mergeCell ref="AM2:AP2"/>
    <mergeCell ref="AQ2:AT2"/>
    <mergeCell ref="AU2:AW2"/>
    <mergeCell ref="AC3:AE3"/>
    <mergeCell ref="AQ3:AT3"/>
    <mergeCell ref="AU3:AW3"/>
    <mergeCell ref="AX4:BB4"/>
    <mergeCell ref="BA5:BA6"/>
    <mergeCell ref="BB5:BB6"/>
    <mergeCell ref="S1:W3"/>
    <mergeCell ref="X1:Y3"/>
    <mergeCell ref="AC1:AE1"/>
    <mergeCell ref="AF1:AH1"/>
    <mergeCell ref="AI1:AL1"/>
    <mergeCell ref="AM1:AP1"/>
    <mergeCell ref="AF3:AH3"/>
    <mergeCell ref="AI3:AL3"/>
    <mergeCell ref="AM3:AP3"/>
  </mergeCells>
  <conditionalFormatting sqref="Z7:Z15">
    <cfRule type="cellIs" dxfId="51" priority="3" operator="greaterThan">
      <formula>0.167361111111111</formula>
    </cfRule>
    <cfRule type="cellIs" dxfId="50" priority="4" operator="greaterThan">
      <formula>0.15625</formula>
    </cfRule>
  </conditionalFormatting>
  <conditionalFormatting sqref="AA7:AJ15">
    <cfRule type="cellIs" dxfId="49" priority="11" operator="between">
      <formula>1700</formula>
      <formula>1710</formula>
    </cfRule>
    <cfRule type="cellIs" dxfId="48" priority="12" operator="between">
      <formula>1691</formula>
      <formula>1700</formula>
    </cfRule>
  </conditionalFormatting>
  <conditionalFormatting sqref="AS7:AS15">
    <cfRule type="expression" dxfId="47" priority="13">
      <formula>IF(($AS7/$AX7)*1000&gt;$AY$1,1,0)</formula>
    </cfRule>
  </conditionalFormatting>
  <conditionalFormatting sqref="AT7:AW15">
    <cfRule type="cellIs" dxfId="46" priority="5" operator="greaterThan">
      <formula>10</formula>
    </cfRule>
  </conditionalFormatting>
  <conditionalFormatting sqref="AX7:AX15">
    <cfRule type="cellIs" dxfId="45" priority="2" operator="between">
      <formula>16000</formula>
      <formula>17200</formula>
    </cfRule>
    <cfRule type="cellIs" dxfId="44" priority="6" operator="lessThan">
      <formula>15800</formula>
    </cfRule>
    <cfRule type="cellIs" dxfId="43" priority="7" operator="greaterThan">
      <formula>18000</formula>
    </cfRule>
  </conditionalFormatting>
  <conditionalFormatting sqref="AZ7:BA15">
    <cfRule type="cellIs" dxfId="42" priority="10" operator="greaterThan">
      <formula>0</formula>
    </cfRule>
  </conditionalFormatting>
  <conditionalFormatting sqref="BB7:BB15">
    <cfRule type="cellIs" dxfId="41" priority="1" operator="between">
      <formula>16000</formula>
      <formula>17200</formula>
    </cfRule>
    <cfRule type="cellIs" dxfId="40" priority="8" operator="greaterThan">
      <formula>18000</formula>
    </cfRule>
    <cfRule type="cellIs" dxfId="39" priority="9" operator="lessThan">
      <formula>15800</formula>
    </cfRule>
  </conditionalFormatting>
  <printOptions horizontalCentered="1" verticalCentered="1"/>
  <pageMargins left="0" right="0" top="0" bottom="0.21" header="0" footer="0"/>
  <pageSetup paperSize="9" scale="42" orientation="landscape" cellComments="asDisplayed" r:id="rId1"/>
  <headerFooter differentFirst="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032F3-E902-4206-AE65-04462E2CBF90}">
  <sheetPr>
    <tabColor theme="5"/>
    <pageSetUpPr fitToPage="1"/>
  </sheetPr>
  <dimension ref="R1:BJ32"/>
  <sheetViews>
    <sheetView showGridLines="0" rightToLeft="1" topLeftCell="AI13" zoomScale="55" zoomScaleNormal="55" zoomScalePageLayoutView="40" workbookViewId="0">
      <selection activeCell="AC15" sqref="AC15"/>
    </sheetView>
  </sheetViews>
  <sheetFormatPr defaultColWidth="9.140625" defaultRowHeight="15"/>
  <cols>
    <col min="1" max="18" width="9.140625" style="4"/>
    <col min="19" max="19" width="5.7109375" style="4" customWidth="1"/>
    <col min="20" max="20" width="9.5703125" style="3" customWidth="1"/>
    <col min="21" max="21" width="10.7109375" style="3" customWidth="1"/>
    <col min="22" max="22" width="9.42578125" style="88" customWidth="1"/>
    <col min="23" max="23" width="8.85546875" style="88" customWidth="1"/>
    <col min="24" max="24" width="14.42578125" style="3" customWidth="1"/>
    <col min="25" max="25" width="14.7109375" style="3" customWidth="1"/>
    <col min="26" max="26" width="15.140625" style="88" customWidth="1"/>
    <col min="27" max="27" width="9.5703125" style="3" hidden="1" customWidth="1"/>
    <col min="28" max="28" width="10" style="3" hidden="1" customWidth="1"/>
    <col min="29" max="29" width="8.140625" style="3" customWidth="1"/>
    <col min="30" max="30" width="8.5703125" style="3" customWidth="1"/>
    <col min="31" max="31" width="12.42578125" style="3" customWidth="1"/>
    <col min="32" max="32" width="10.5703125" style="3" customWidth="1"/>
    <col min="33" max="33" width="9.5703125" style="3" customWidth="1"/>
    <col min="34" max="34" width="11.42578125" style="3" customWidth="1"/>
    <col min="35" max="35" width="9.42578125" style="3" customWidth="1"/>
    <col min="36" max="36" width="9.28515625" style="3" customWidth="1"/>
    <col min="37" max="37" width="6.7109375" style="3" hidden="1" customWidth="1"/>
    <col min="38" max="42" width="6.7109375" style="3" customWidth="1"/>
    <col min="43" max="43" width="8.140625" style="3" customWidth="1"/>
    <col min="44" max="44" width="6.7109375" style="3" hidden="1" customWidth="1"/>
    <col min="45" max="45" width="10.42578125" style="3" customWidth="1"/>
    <col min="46" max="46" width="8.7109375" style="3" customWidth="1"/>
    <col min="47" max="47" width="8.5703125" style="3" customWidth="1"/>
    <col min="48" max="48" width="8.7109375" style="3" customWidth="1"/>
    <col min="49" max="49" width="9.5703125" style="3" customWidth="1"/>
    <col min="50" max="50" width="12.42578125" style="88" customWidth="1"/>
    <col min="51" max="51" width="11.85546875" style="3" customWidth="1"/>
    <col min="52" max="52" width="11.5703125" style="3" customWidth="1"/>
    <col min="53" max="53" width="13.42578125" style="3" customWidth="1"/>
    <col min="54" max="54" width="13.5703125" style="4" customWidth="1"/>
    <col min="55" max="57" width="9.140625" style="4"/>
    <col min="58" max="58" width="25" style="4" customWidth="1"/>
    <col min="59" max="61" width="9.140625" style="4"/>
    <col min="62" max="62" width="23.5703125" style="4" customWidth="1"/>
    <col min="63" max="16384" width="9.140625" style="4"/>
  </cols>
  <sheetData>
    <row r="1" spans="19:54" ht="36.75" customHeight="1" thickBot="1">
      <c r="S1" s="180"/>
      <c r="T1" s="181"/>
      <c r="U1" s="181"/>
      <c r="V1" s="181"/>
      <c r="W1" s="181"/>
      <c r="X1" s="182" t="s">
        <v>0</v>
      </c>
      <c r="Y1" s="183"/>
      <c r="Z1" s="1" t="s">
        <v>1</v>
      </c>
      <c r="AA1" s="2"/>
      <c r="AC1" s="188" t="s">
        <v>2</v>
      </c>
      <c r="AD1" s="189"/>
      <c r="AE1" s="189"/>
      <c r="AF1" s="190" t="s">
        <v>75</v>
      </c>
      <c r="AG1" s="191"/>
      <c r="AH1" s="192"/>
      <c r="AI1" s="193" t="s">
        <v>3</v>
      </c>
      <c r="AJ1" s="194"/>
      <c r="AK1" s="194"/>
      <c r="AL1" s="195"/>
      <c r="AM1" s="196" t="s">
        <v>76</v>
      </c>
      <c r="AN1" s="197"/>
      <c r="AO1" s="197"/>
      <c r="AP1" s="198"/>
      <c r="AQ1" s="203" t="s">
        <v>4</v>
      </c>
      <c r="AR1" s="204"/>
      <c r="AS1" s="204"/>
      <c r="AT1" s="205"/>
      <c r="AU1" s="206" t="s">
        <v>74</v>
      </c>
      <c r="AV1" s="207"/>
      <c r="AW1" s="208"/>
      <c r="AX1" s="211" t="s">
        <v>95</v>
      </c>
      <c r="AY1" s="211"/>
      <c r="AZ1" s="211"/>
      <c r="BA1" s="211"/>
      <c r="BB1" s="211"/>
    </row>
    <row r="2" spans="19:54" ht="36.75" customHeight="1" thickBot="1">
      <c r="S2" s="180"/>
      <c r="T2" s="181"/>
      <c r="U2" s="181"/>
      <c r="V2" s="181"/>
      <c r="W2" s="181"/>
      <c r="X2" s="184"/>
      <c r="Y2" s="185"/>
      <c r="Z2" s="5" t="s">
        <v>5</v>
      </c>
      <c r="AA2" s="89"/>
      <c r="AC2" s="188" t="s">
        <v>2</v>
      </c>
      <c r="AD2" s="189"/>
      <c r="AE2" s="212"/>
      <c r="AF2" s="190" t="s">
        <v>78</v>
      </c>
      <c r="AG2" s="191"/>
      <c r="AH2" s="192"/>
      <c r="AI2" s="193" t="s">
        <v>3</v>
      </c>
      <c r="AJ2" s="194"/>
      <c r="AK2" s="194"/>
      <c r="AL2" s="195"/>
      <c r="AM2" s="202" t="s">
        <v>79</v>
      </c>
      <c r="AN2" s="202"/>
      <c r="AO2" s="202"/>
      <c r="AP2" s="202"/>
      <c r="AQ2" s="203" t="s">
        <v>4</v>
      </c>
      <c r="AR2" s="204"/>
      <c r="AS2" s="204"/>
      <c r="AT2" s="205"/>
      <c r="AU2" s="213" t="s">
        <v>77</v>
      </c>
      <c r="AV2" s="213"/>
      <c r="AW2" s="213"/>
      <c r="AX2" s="211"/>
      <c r="AY2" s="211"/>
      <c r="AZ2" s="211"/>
      <c r="BA2" s="211"/>
      <c r="BB2" s="211"/>
    </row>
    <row r="3" spans="19:54" ht="38.25" customHeight="1" thickBot="1">
      <c r="S3" s="181"/>
      <c r="T3" s="181"/>
      <c r="U3" s="181"/>
      <c r="V3" s="181"/>
      <c r="W3" s="181"/>
      <c r="X3" s="186"/>
      <c r="Y3" s="187"/>
      <c r="Z3" s="90" t="s">
        <v>65</v>
      </c>
      <c r="AA3" s="6"/>
      <c r="AC3" s="188" t="s">
        <v>6</v>
      </c>
      <c r="AD3" s="189"/>
      <c r="AE3" s="212"/>
      <c r="AF3" s="190" t="s">
        <v>81</v>
      </c>
      <c r="AG3" s="191"/>
      <c r="AH3" s="192"/>
      <c r="AI3" s="199" t="s">
        <v>7</v>
      </c>
      <c r="AJ3" s="200"/>
      <c r="AK3" s="200"/>
      <c r="AL3" s="201"/>
      <c r="AM3" s="202" t="s">
        <v>82</v>
      </c>
      <c r="AN3" s="202"/>
      <c r="AO3" s="202"/>
      <c r="AP3" s="202"/>
      <c r="AQ3" s="203" t="s">
        <v>4</v>
      </c>
      <c r="AR3" s="204"/>
      <c r="AS3" s="204"/>
      <c r="AT3" s="214"/>
      <c r="AU3" s="215" t="s">
        <v>80</v>
      </c>
      <c r="AV3" s="216"/>
      <c r="AW3" s="217"/>
      <c r="AX3" s="211"/>
      <c r="AY3" s="211"/>
      <c r="AZ3" s="211"/>
      <c r="BA3" s="211"/>
      <c r="BB3" s="211"/>
    </row>
    <row r="4" spans="19:54" ht="34.5" customHeight="1" thickBot="1">
      <c r="S4" s="225" t="s">
        <v>8</v>
      </c>
      <c r="T4" s="226"/>
      <c r="U4" s="226"/>
      <c r="V4" s="226"/>
      <c r="W4" s="226"/>
      <c r="X4" s="227"/>
      <c r="Y4" s="227"/>
      <c r="Z4" s="228"/>
      <c r="AA4" s="229" t="s">
        <v>9</v>
      </c>
      <c r="AB4" s="230"/>
      <c r="AC4" s="231" t="s">
        <v>10</v>
      </c>
      <c r="AD4" s="232"/>
      <c r="AE4" s="233" t="s">
        <v>11</v>
      </c>
      <c r="AF4" s="234"/>
      <c r="AG4" s="234"/>
      <c r="AH4" s="234"/>
      <c r="AI4" s="234"/>
      <c r="AJ4" s="235"/>
      <c r="AK4" s="7"/>
      <c r="AL4" s="236" t="s">
        <v>12</v>
      </c>
      <c r="AM4" s="237"/>
      <c r="AN4" s="237"/>
      <c r="AO4" s="237"/>
      <c r="AP4" s="237"/>
      <c r="AQ4" s="237"/>
      <c r="AR4" s="8"/>
      <c r="AS4" s="238" t="s">
        <v>13</v>
      </c>
      <c r="AT4" s="239"/>
      <c r="AU4" s="239"/>
      <c r="AV4" s="239"/>
      <c r="AW4" s="240"/>
      <c r="AX4" s="218" t="s">
        <v>14</v>
      </c>
      <c r="AY4" s="219"/>
      <c r="AZ4" s="219"/>
      <c r="BA4" s="219"/>
      <c r="BB4" s="220"/>
    </row>
    <row r="5" spans="19:54" ht="52.5" customHeight="1">
      <c r="S5" s="246" t="s">
        <v>15</v>
      </c>
      <c r="T5" s="248" t="s">
        <v>16</v>
      </c>
      <c r="U5" s="248" t="s">
        <v>17</v>
      </c>
      <c r="V5" s="248" t="s">
        <v>18</v>
      </c>
      <c r="W5" s="248" t="s">
        <v>19</v>
      </c>
      <c r="X5" s="248" t="s">
        <v>20</v>
      </c>
      <c r="Y5" s="248" t="s">
        <v>21</v>
      </c>
      <c r="Z5" s="250" t="s">
        <v>22</v>
      </c>
      <c r="AA5" s="252" t="s">
        <v>23</v>
      </c>
      <c r="AB5" s="270" t="s">
        <v>9</v>
      </c>
      <c r="AC5" s="272" t="s">
        <v>24</v>
      </c>
      <c r="AD5" s="272" t="s">
        <v>25</v>
      </c>
      <c r="AE5" s="274" t="s">
        <v>26</v>
      </c>
      <c r="AF5" s="209" t="s">
        <v>27</v>
      </c>
      <c r="AG5" s="209" t="s">
        <v>28</v>
      </c>
      <c r="AH5" s="263" t="s">
        <v>29</v>
      </c>
      <c r="AI5" s="263" t="s">
        <v>30</v>
      </c>
      <c r="AJ5" s="265" t="s">
        <v>31</v>
      </c>
      <c r="AK5" s="267" t="s">
        <v>32</v>
      </c>
      <c r="AL5" s="268"/>
      <c r="AM5" s="268"/>
      <c r="AN5" s="268"/>
      <c r="AO5" s="268"/>
      <c r="AP5" s="268"/>
      <c r="AQ5" s="268"/>
      <c r="AR5" s="269"/>
      <c r="AS5" s="259" t="s">
        <v>33</v>
      </c>
      <c r="AT5" s="259" t="s">
        <v>34</v>
      </c>
      <c r="AU5" s="259" t="s">
        <v>35</v>
      </c>
      <c r="AV5" s="259" t="s">
        <v>66</v>
      </c>
      <c r="AW5" s="261" t="s">
        <v>36</v>
      </c>
      <c r="AX5" s="252" t="s">
        <v>37</v>
      </c>
      <c r="AY5" s="221" t="s">
        <v>38</v>
      </c>
      <c r="AZ5" s="221" t="s">
        <v>39</v>
      </c>
      <c r="BA5" s="221" t="s">
        <v>40</v>
      </c>
      <c r="BB5" s="223" t="s">
        <v>41</v>
      </c>
    </row>
    <row r="6" spans="19:54" ht="27.95" customHeight="1" thickBot="1">
      <c r="S6" s="247"/>
      <c r="T6" s="249"/>
      <c r="U6" s="249"/>
      <c r="V6" s="249"/>
      <c r="W6" s="249"/>
      <c r="X6" s="249"/>
      <c r="Y6" s="249"/>
      <c r="Z6" s="251"/>
      <c r="AA6" s="253"/>
      <c r="AB6" s="271"/>
      <c r="AC6" s="273"/>
      <c r="AD6" s="273"/>
      <c r="AE6" s="275"/>
      <c r="AF6" s="210"/>
      <c r="AG6" s="210"/>
      <c r="AH6" s="264"/>
      <c r="AI6" s="264"/>
      <c r="AJ6" s="266"/>
      <c r="AK6" s="9">
        <v>1</v>
      </c>
      <c r="AL6" s="10">
        <v>2</v>
      </c>
      <c r="AM6" s="10">
        <v>3</v>
      </c>
      <c r="AN6" s="10">
        <v>4</v>
      </c>
      <c r="AO6" s="10">
        <v>5</v>
      </c>
      <c r="AP6" s="10">
        <v>6</v>
      </c>
      <c r="AQ6" s="10">
        <v>12</v>
      </c>
      <c r="AR6" s="11"/>
      <c r="AS6" s="260"/>
      <c r="AT6" s="260"/>
      <c r="AU6" s="260"/>
      <c r="AV6" s="260"/>
      <c r="AW6" s="262"/>
      <c r="AX6" s="253"/>
      <c r="AY6" s="222"/>
      <c r="AZ6" s="222"/>
      <c r="BA6" s="222"/>
      <c r="BB6" s="224"/>
    </row>
    <row r="7" spans="19:54" s="34" customFormat="1" ht="48" customHeight="1" thickBot="1">
      <c r="S7" s="12">
        <v>1</v>
      </c>
      <c r="T7" s="241" t="s">
        <v>1</v>
      </c>
      <c r="U7" s="13"/>
      <c r="V7" s="14"/>
      <c r="W7" s="15"/>
      <c r="X7" s="16"/>
      <c r="Y7" s="17"/>
      <c r="Z7" s="18">
        <f t="shared" ref="Z7:Z15" si="0">IF(Y7&lt;X7,1+Y7-X7,Y7-X7)</f>
        <v>0</v>
      </c>
      <c r="AA7" s="19"/>
      <c r="AB7" s="20"/>
      <c r="AC7" s="21"/>
      <c r="AD7" s="100"/>
      <c r="AE7" s="22"/>
      <c r="AF7" s="23"/>
      <c r="AG7" s="23"/>
      <c r="AH7" s="23"/>
      <c r="AI7" s="23"/>
      <c r="AJ7" s="24"/>
      <c r="AK7" s="25"/>
      <c r="AL7" s="26"/>
      <c r="AM7" s="26"/>
      <c r="AN7" s="26"/>
      <c r="AO7" s="26"/>
      <c r="AP7" s="26"/>
      <c r="AQ7" s="26"/>
      <c r="AR7" s="27"/>
      <c r="AS7" s="28"/>
      <c r="AT7" s="13"/>
      <c r="AU7" s="13"/>
      <c r="AV7" s="13"/>
      <c r="AW7" s="29"/>
      <c r="AX7" s="30">
        <f t="shared" ref="AX7:AX15" si="1">SUM(AY7:BB7)</f>
        <v>0</v>
      </c>
      <c r="AY7" s="31">
        <v>0</v>
      </c>
      <c r="AZ7" s="32">
        <v>0</v>
      </c>
      <c r="BA7" s="31">
        <v>0</v>
      </c>
      <c r="BB7" s="33">
        <f t="shared" ref="BB7:BB15" si="2">SUM(($AQ$6*AQ7+$AP$6*AP7+$AN$6*AN7+$AM$6*$AM7+$AL$6*AL7+$AK$6*AK7+$AO$6*AO7+$AR$6*AR7)*175)</f>
        <v>0</v>
      </c>
    </row>
    <row r="8" spans="19:54" s="34" customFormat="1" ht="48" customHeight="1" thickBot="1">
      <c r="S8" s="12">
        <v>2</v>
      </c>
      <c r="T8" s="242"/>
      <c r="U8" s="35"/>
      <c r="V8" s="119"/>
      <c r="W8" s="119"/>
      <c r="X8" s="36"/>
      <c r="Y8" s="36"/>
      <c r="Z8" s="37">
        <f t="shared" si="0"/>
        <v>0</v>
      </c>
      <c r="AA8" s="38"/>
      <c r="AB8" s="39"/>
      <c r="AC8" s="147"/>
      <c r="AD8" s="101"/>
      <c r="AE8" s="41"/>
      <c r="AF8" s="42"/>
      <c r="AG8" s="42"/>
      <c r="AH8" s="42"/>
      <c r="AI8" s="42"/>
      <c r="AJ8" s="43"/>
      <c r="AK8" s="44"/>
      <c r="AL8" s="45"/>
      <c r="AM8" s="45"/>
      <c r="AN8" s="45"/>
      <c r="AO8" s="45"/>
      <c r="AP8" s="45"/>
      <c r="AQ8" s="45"/>
      <c r="AR8" s="46"/>
      <c r="AS8" s="47"/>
      <c r="AT8" s="35"/>
      <c r="AU8" s="35"/>
      <c r="AV8" s="35"/>
      <c r="AW8" s="48"/>
      <c r="AX8" s="49">
        <f t="shared" si="1"/>
        <v>0</v>
      </c>
      <c r="AY8" s="50">
        <v>0</v>
      </c>
      <c r="AZ8" s="51">
        <v>0</v>
      </c>
      <c r="BA8" s="52">
        <v>0</v>
      </c>
      <c r="BB8" s="53">
        <f t="shared" si="2"/>
        <v>0</v>
      </c>
    </row>
    <row r="9" spans="19:54" s="34" customFormat="1" ht="48" customHeight="1" thickBot="1">
      <c r="S9" s="12">
        <v>3</v>
      </c>
      <c r="T9" s="242"/>
      <c r="U9" s="35"/>
      <c r="V9" s="119"/>
      <c r="W9" s="119"/>
      <c r="X9" s="36"/>
      <c r="Y9" s="36"/>
      <c r="Z9" s="37">
        <f t="shared" si="0"/>
        <v>0</v>
      </c>
      <c r="AA9" s="38"/>
      <c r="AB9" s="39"/>
      <c r="AC9" s="40"/>
      <c r="AD9" s="101"/>
      <c r="AE9" s="41"/>
      <c r="AF9" s="42"/>
      <c r="AG9" s="42"/>
      <c r="AH9" s="42"/>
      <c r="AI9" s="42"/>
      <c r="AJ9" s="43"/>
      <c r="AK9" s="44"/>
      <c r="AL9" s="45"/>
      <c r="AM9" s="45"/>
      <c r="AN9" s="45"/>
      <c r="AO9" s="45"/>
      <c r="AP9" s="45"/>
      <c r="AQ9" s="45"/>
      <c r="AR9" s="46"/>
      <c r="AS9" s="47"/>
      <c r="AT9" s="35"/>
      <c r="AU9" s="35"/>
      <c r="AV9" s="35"/>
      <c r="AW9" s="48"/>
      <c r="AX9" s="49">
        <f t="shared" si="1"/>
        <v>0</v>
      </c>
      <c r="AY9" s="51">
        <v>0</v>
      </c>
      <c r="AZ9" s="52">
        <v>0</v>
      </c>
      <c r="BA9" s="51">
        <v>0</v>
      </c>
      <c r="BB9" s="53">
        <f t="shared" si="2"/>
        <v>0</v>
      </c>
    </row>
    <row r="10" spans="19:54" s="34" customFormat="1" ht="48" customHeight="1" thickBot="1">
      <c r="S10" s="12">
        <v>4</v>
      </c>
      <c r="T10" s="243" t="s">
        <v>5</v>
      </c>
      <c r="U10" s="35"/>
      <c r="V10" s="119"/>
      <c r="W10" s="119"/>
      <c r="X10" s="36"/>
      <c r="Y10" s="36"/>
      <c r="Z10" s="37">
        <f t="shared" si="0"/>
        <v>0</v>
      </c>
      <c r="AA10" s="38"/>
      <c r="AB10" s="39"/>
      <c r="AC10" s="147"/>
      <c r="AD10" s="101"/>
      <c r="AE10" s="41"/>
      <c r="AF10" s="42"/>
      <c r="AG10" s="42"/>
      <c r="AH10" s="42"/>
      <c r="AI10" s="42"/>
      <c r="AJ10" s="43"/>
      <c r="AK10" s="44"/>
      <c r="AL10" s="45"/>
      <c r="AM10" s="45"/>
      <c r="AN10" s="45"/>
      <c r="AO10" s="45"/>
      <c r="AP10" s="45"/>
      <c r="AQ10" s="45"/>
      <c r="AR10" s="46"/>
      <c r="AS10" s="47"/>
      <c r="AT10" s="35"/>
      <c r="AU10" s="35"/>
      <c r="AV10" s="35"/>
      <c r="AW10" s="48"/>
      <c r="AX10" s="49">
        <f t="shared" si="1"/>
        <v>0</v>
      </c>
      <c r="AY10" s="51">
        <v>0</v>
      </c>
      <c r="AZ10" s="52">
        <v>0</v>
      </c>
      <c r="BA10" s="51">
        <v>0</v>
      </c>
      <c r="BB10" s="53">
        <f t="shared" si="2"/>
        <v>0</v>
      </c>
    </row>
    <row r="11" spans="19:54" s="34" customFormat="1" ht="48" customHeight="1" thickBot="1">
      <c r="S11" s="12">
        <v>5</v>
      </c>
      <c r="T11" s="243"/>
      <c r="U11" s="35"/>
      <c r="V11" s="119"/>
      <c r="W11" s="119"/>
      <c r="X11" s="36"/>
      <c r="Y11" s="120"/>
      <c r="Z11" s="37">
        <f t="shared" si="0"/>
        <v>0</v>
      </c>
      <c r="AA11" s="38"/>
      <c r="AB11" s="39"/>
      <c r="AC11" s="40"/>
      <c r="AD11" s="101"/>
      <c r="AE11" s="41"/>
      <c r="AF11" s="42"/>
      <c r="AG11" s="42"/>
      <c r="AH11" s="42"/>
      <c r="AI11" s="42"/>
      <c r="AJ11" s="43"/>
      <c r="AK11" s="44"/>
      <c r="AL11" s="45"/>
      <c r="AM11" s="45"/>
      <c r="AN11" s="45"/>
      <c r="AO11" s="45"/>
      <c r="AP11" s="45"/>
      <c r="AQ11" s="45"/>
      <c r="AR11" s="46"/>
      <c r="AS11" s="47"/>
      <c r="AT11" s="35"/>
      <c r="AU11" s="35"/>
      <c r="AV11" s="35"/>
      <c r="AW11" s="48"/>
      <c r="AX11" s="49">
        <f t="shared" si="1"/>
        <v>0</v>
      </c>
      <c r="AY11" s="50">
        <v>0</v>
      </c>
      <c r="AZ11" s="51">
        <v>0</v>
      </c>
      <c r="BA11" s="52">
        <v>0</v>
      </c>
      <c r="BB11" s="53">
        <f t="shared" si="2"/>
        <v>0</v>
      </c>
    </row>
    <row r="12" spans="19:54" s="34" customFormat="1" ht="48" customHeight="1" thickBot="1">
      <c r="S12" s="12">
        <v>10</v>
      </c>
      <c r="T12" s="243"/>
      <c r="U12" s="13"/>
      <c r="V12" s="14"/>
      <c r="W12" s="14"/>
      <c r="X12" s="54"/>
      <c r="Y12" s="54"/>
      <c r="Z12" s="55">
        <f t="shared" si="0"/>
        <v>0</v>
      </c>
      <c r="AA12" s="19"/>
      <c r="AB12" s="20"/>
      <c r="AC12" s="21"/>
      <c r="AD12" s="100"/>
      <c r="AE12" s="22"/>
      <c r="AF12" s="23"/>
      <c r="AG12" s="23"/>
      <c r="AH12" s="23"/>
      <c r="AI12" s="23"/>
      <c r="AJ12" s="24"/>
      <c r="AK12" s="25"/>
      <c r="AL12" s="26"/>
      <c r="AM12" s="26"/>
      <c r="AN12" s="26"/>
      <c r="AO12" s="26"/>
      <c r="AP12" s="26"/>
      <c r="AQ12" s="26"/>
      <c r="AR12" s="27"/>
      <c r="AS12" s="28"/>
      <c r="AT12" s="13"/>
      <c r="AU12" s="13"/>
      <c r="AV12" s="13"/>
      <c r="AW12" s="29"/>
      <c r="AX12" s="30">
        <f t="shared" si="1"/>
        <v>0</v>
      </c>
      <c r="AY12" s="31">
        <v>0</v>
      </c>
      <c r="AZ12" s="32">
        <v>0</v>
      </c>
      <c r="BA12" s="31">
        <v>0</v>
      </c>
      <c r="BB12" s="56">
        <f t="shared" si="2"/>
        <v>0</v>
      </c>
    </row>
    <row r="13" spans="19:54" s="34" customFormat="1" ht="48" customHeight="1" thickBot="1">
      <c r="S13" s="12">
        <v>11</v>
      </c>
      <c r="T13" s="244" t="s">
        <v>65</v>
      </c>
      <c r="U13" s="35">
        <v>1345</v>
      </c>
      <c r="V13" s="119">
        <v>1</v>
      </c>
      <c r="W13" s="119">
        <v>1</v>
      </c>
      <c r="X13" s="36">
        <v>0.75277777777777777</v>
      </c>
      <c r="Y13" s="36">
        <v>0.95833333333333337</v>
      </c>
      <c r="Z13" s="37">
        <f t="shared" si="0"/>
        <v>0.2055555555555556</v>
      </c>
      <c r="AA13" s="38"/>
      <c r="AB13" s="39"/>
      <c r="AC13" s="40"/>
      <c r="AD13" s="101">
        <v>3.6111111111111115E-2</v>
      </c>
      <c r="AE13" s="41"/>
      <c r="AF13" s="42"/>
      <c r="AG13" s="42"/>
      <c r="AH13" s="42"/>
      <c r="AI13" s="42"/>
      <c r="AJ13" s="43">
        <v>5</v>
      </c>
      <c r="AK13" s="44"/>
      <c r="AL13" s="45"/>
      <c r="AM13" s="45"/>
      <c r="AN13" s="45">
        <v>1</v>
      </c>
      <c r="AO13" s="45"/>
      <c r="AP13" s="45">
        <v>1</v>
      </c>
      <c r="AQ13" s="45">
        <v>11</v>
      </c>
      <c r="AR13" s="46"/>
      <c r="AS13" s="47">
        <v>260</v>
      </c>
      <c r="AT13" s="35">
        <v>20</v>
      </c>
      <c r="AU13" s="35">
        <v>2</v>
      </c>
      <c r="AV13" s="35">
        <v>0</v>
      </c>
      <c r="AW13" s="48">
        <v>30</v>
      </c>
      <c r="AX13" s="49">
        <f t="shared" si="1"/>
        <v>24850</v>
      </c>
      <c r="AY13" s="50">
        <v>0</v>
      </c>
      <c r="AZ13" s="51">
        <v>0</v>
      </c>
      <c r="BA13" s="52">
        <v>0</v>
      </c>
      <c r="BB13" s="57">
        <f t="shared" si="2"/>
        <v>24850</v>
      </c>
    </row>
    <row r="14" spans="19:54" s="34" customFormat="1" ht="48" customHeight="1" thickBot="1">
      <c r="S14" s="12">
        <v>12</v>
      </c>
      <c r="T14" s="244"/>
      <c r="U14" s="35">
        <v>1346</v>
      </c>
      <c r="V14" s="119">
        <v>2</v>
      </c>
      <c r="W14" s="119">
        <v>1</v>
      </c>
      <c r="X14" s="36">
        <v>0.96388888888888891</v>
      </c>
      <c r="Y14" s="36">
        <v>0.12083333333333333</v>
      </c>
      <c r="Z14" s="37">
        <f t="shared" si="0"/>
        <v>0.15694444444444444</v>
      </c>
      <c r="AA14" s="38"/>
      <c r="AB14" s="39"/>
      <c r="AC14" s="147">
        <f>AVERAGE(AD13:AD15)</f>
        <v>2.777777777777778E-2</v>
      </c>
      <c r="AD14" s="101">
        <v>2.9861111111111113E-2</v>
      </c>
      <c r="AE14" s="41"/>
      <c r="AF14" s="42"/>
      <c r="AG14" s="42"/>
      <c r="AH14" s="42"/>
      <c r="AI14" s="42"/>
      <c r="AJ14" s="43">
        <v>5</v>
      </c>
      <c r="AK14" s="44"/>
      <c r="AL14" s="45"/>
      <c r="AM14" s="45"/>
      <c r="AN14" s="45">
        <v>1</v>
      </c>
      <c r="AO14" s="45"/>
      <c r="AP14" s="45"/>
      <c r="AQ14" s="45">
        <v>10</v>
      </c>
      <c r="AR14" s="46"/>
      <c r="AS14" s="47">
        <v>250</v>
      </c>
      <c r="AT14" s="35">
        <v>20</v>
      </c>
      <c r="AU14" s="35">
        <v>0</v>
      </c>
      <c r="AV14" s="35">
        <v>0</v>
      </c>
      <c r="AW14" s="48">
        <v>0</v>
      </c>
      <c r="AX14" s="49">
        <f t="shared" si="1"/>
        <v>21700</v>
      </c>
      <c r="AY14" s="51">
        <v>0</v>
      </c>
      <c r="AZ14" s="52">
        <v>0</v>
      </c>
      <c r="BA14" s="51">
        <v>0</v>
      </c>
      <c r="BB14" s="57">
        <f t="shared" si="2"/>
        <v>21700</v>
      </c>
    </row>
    <row r="15" spans="19:54" s="34" customFormat="1" ht="48" customHeight="1" thickBot="1">
      <c r="S15" s="12">
        <v>13</v>
      </c>
      <c r="T15" s="245"/>
      <c r="U15" s="58">
        <v>1347</v>
      </c>
      <c r="V15" s="59">
        <v>3</v>
      </c>
      <c r="W15" s="59">
        <v>1</v>
      </c>
      <c r="X15" s="60">
        <v>0.12708333333333333</v>
      </c>
      <c r="Y15" s="60">
        <v>0.28819444444444448</v>
      </c>
      <c r="Z15" s="61">
        <f t="shared" si="0"/>
        <v>0.16111111111111115</v>
      </c>
      <c r="AA15" s="62"/>
      <c r="AB15" s="63"/>
      <c r="AC15" s="64"/>
      <c r="AD15" s="102">
        <v>1.7361111111111112E-2</v>
      </c>
      <c r="AE15" s="65"/>
      <c r="AF15" s="66"/>
      <c r="AG15" s="67"/>
      <c r="AH15" s="67"/>
      <c r="AI15" s="67"/>
      <c r="AJ15" s="66">
        <v>5</v>
      </c>
      <c r="AK15" s="68"/>
      <c r="AL15" s="69"/>
      <c r="AM15" s="69"/>
      <c r="AN15" s="69"/>
      <c r="AO15" s="69"/>
      <c r="AP15" s="69">
        <v>2</v>
      </c>
      <c r="AQ15" s="69">
        <v>3</v>
      </c>
      <c r="AR15" s="70"/>
      <c r="AS15" s="71">
        <v>242</v>
      </c>
      <c r="AT15" s="35">
        <v>20</v>
      </c>
      <c r="AU15" s="35">
        <v>1</v>
      </c>
      <c r="AV15" s="35">
        <v>0</v>
      </c>
      <c r="AW15" s="48">
        <v>0</v>
      </c>
      <c r="AX15" s="49">
        <f t="shared" si="1"/>
        <v>10400</v>
      </c>
      <c r="AY15" s="50">
        <v>0</v>
      </c>
      <c r="AZ15" s="51">
        <v>2000</v>
      </c>
      <c r="BA15" s="52">
        <v>0</v>
      </c>
      <c r="BB15" s="57">
        <f t="shared" si="2"/>
        <v>8400</v>
      </c>
    </row>
    <row r="16" spans="19:54" s="72" customFormat="1" ht="50.1" customHeight="1">
      <c r="S16" s="254" t="s">
        <v>42</v>
      </c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5" t="s">
        <v>53</v>
      </c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6" t="s">
        <v>43</v>
      </c>
      <c r="AU16" s="257"/>
      <c r="AV16" s="257"/>
      <c r="AW16" s="257"/>
      <c r="AX16" s="257"/>
      <c r="AY16" s="257"/>
      <c r="AZ16" s="257"/>
      <c r="BA16" s="257"/>
      <c r="BB16" s="258"/>
    </row>
    <row r="17" spans="18:62" s="72" customFormat="1" ht="60" customHeight="1">
      <c r="S17" s="73" t="s">
        <v>15</v>
      </c>
      <c r="T17" s="300" t="s">
        <v>44</v>
      </c>
      <c r="U17" s="301"/>
      <c r="V17" s="302" t="s">
        <v>45</v>
      </c>
      <c r="W17" s="303"/>
      <c r="X17" s="74" t="s">
        <v>46</v>
      </c>
      <c r="Y17" s="75" t="s">
        <v>67</v>
      </c>
      <c r="Z17" s="304" t="s">
        <v>47</v>
      </c>
      <c r="AA17" s="304"/>
      <c r="AB17" s="304"/>
      <c r="AC17" s="304"/>
      <c r="AD17" s="304"/>
      <c r="AE17" s="304"/>
      <c r="AF17" s="304"/>
      <c r="AG17" s="305" t="s">
        <v>48</v>
      </c>
      <c r="AH17" s="306"/>
      <c r="AI17" s="307" t="s">
        <v>49</v>
      </c>
      <c r="AJ17" s="307"/>
      <c r="AK17" s="92"/>
      <c r="AL17" s="308" t="s">
        <v>68</v>
      </c>
      <c r="AM17" s="309"/>
      <c r="AN17" s="310"/>
      <c r="AO17" s="288" t="s">
        <v>50</v>
      </c>
      <c r="AP17" s="289"/>
      <c r="AQ17" s="289"/>
      <c r="AR17" s="289"/>
      <c r="AS17" s="289"/>
      <c r="AT17" s="76" t="s">
        <v>51</v>
      </c>
      <c r="AU17" s="290" t="s">
        <v>33</v>
      </c>
      <c r="AV17" s="291"/>
      <c r="AW17" s="77" t="s">
        <v>34</v>
      </c>
      <c r="AX17" s="77" t="s">
        <v>66</v>
      </c>
      <c r="AY17" s="77" t="s">
        <v>35</v>
      </c>
      <c r="AZ17" s="77" t="s">
        <v>36</v>
      </c>
      <c r="BA17" s="292" t="s">
        <v>52</v>
      </c>
      <c r="BB17" s="293"/>
    </row>
    <row r="18" spans="18:62" ht="60.75" customHeight="1">
      <c r="S18" s="78">
        <v>1</v>
      </c>
      <c r="T18" s="294"/>
      <c r="U18" s="295"/>
      <c r="V18" s="280"/>
      <c r="W18" s="281"/>
      <c r="X18" s="79" t="str">
        <f>TEXT(MOD(V18-T18,1),"h:mm")</f>
        <v>0:00</v>
      </c>
      <c r="Y18" s="80"/>
      <c r="Z18" s="282"/>
      <c r="AA18" s="282"/>
      <c r="AB18" s="282"/>
      <c r="AC18" s="282"/>
      <c r="AD18" s="282"/>
      <c r="AE18" s="282"/>
      <c r="AF18" s="282"/>
      <c r="AG18" s="296">
        <f>SUM(AX7:AX9)</f>
        <v>0</v>
      </c>
      <c r="AH18" s="297"/>
      <c r="AI18" s="298">
        <f>SUM(AX10:AX12)</f>
        <v>0</v>
      </c>
      <c r="AJ18" s="298"/>
      <c r="AK18" s="93"/>
      <c r="AL18" s="298">
        <f>SUM(AX13:AX15)</f>
        <v>56950</v>
      </c>
      <c r="AM18" s="298"/>
      <c r="AN18" s="298"/>
      <c r="AO18" s="299">
        <f>SUM(AG18:AN18)</f>
        <v>56950</v>
      </c>
      <c r="AP18" s="299"/>
      <c r="AQ18" s="299"/>
      <c r="AR18" s="299"/>
      <c r="AS18" s="299"/>
      <c r="AT18" s="81" t="s">
        <v>1</v>
      </c>
      <c r="AU18" s="276">
        <f>SUM(AS7:AS9)</f>
        <v>0</v>
      </c>
      <c r="AV18" s="277"/>
      <c r="AW18" s="82">
        <f>SUM(AT7:AT9)</f>
        <v>0</v>
      </c>
      <c r="AX18" s="82">
        <f>SUM(AV7:AV9)</f>
        <v>0</v>
      </c>
      <c r="AY18" s="82">
        <f>SUM(AU7:AU9)</f>
        <v>0</v>
      </c>
      <c r="AZ18" s="82">
        <f>SUM(AW7:AW9)</f>
        <v>0</v>
      </c>
      <c r="BA18" s="276">
        <f>SUM(AU18:AZ18)</f>
        <v>0</v>
      </c>
      <c r="BB18" s="277"/>
    </row>
    <row r="19" spans="18:62" ht="60.75" customHeight="1">
      <c r="S19" s="78">
        <v>2</v>
      </c>
      <c r="T19" s="278"/>
      <c r="U19" s="279"/>
      <c r="V19" s="280"/>
      <c r="W19" s="281"/>
      <c r="X19" s="79" t="str">
        <f>TEXT(MOD(V19-T19,1),"h:mm")</f>
        <v>0:00</v>
      </c>
      <c r="Y19" s="80"/>
      <c r="Z19" s="282"/>
      <c r="AA19" s="282"/>
      <c r="AB19" s="282"/>
      <c r="AC19" s="282"/>
      <c r="AD19" s="282"/>
      <c r="AE19" s="282"/>
      <c r="AF19" s="282"/>
      <c r="AG19" s="283" t="s">
        <v>41</v>
      </c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5"/>
      <c r="AT19" s="83" t="s">
        <v>5</v>
      </c>
      <c r="AU19" s="286">
        <f>SUM(AS10:AS12)</f>
        <v>0</v>
      </c>
      <c r="AV19" s="287"/>
      <c r="AW19" s="84">
        <f>SUM(AT10:AT12)</f>
        <v>0</v>
      </c>
      <c r="AX19" s="84">
        <f>SUM(AV10:AV12)</f>
        <v>0</v>
      </c>
      <c r="AY19" s="84">
        <f>SUM(AU10:AU12)</f>
        <v>0</v>
      </c>
      <c r="AZ19" s="84">
        <f>SUM(AW10:AW12)</f>
        <v>0</v>
      </c>
      <c r="BA19" s="286">
        <f>SUM(AU19:AZ19)</f>
        <v>0</v>
      </c>
      <c r="BB19" s="287"/>
    </row>
    <row r="20" spans="18:62" ht="60.75" customHeight="1">
      <c r="S20" s="78">
        <v>3</v>
      </c>
      <c r="T20" s="278"/>
      <c r="U20" s="279"/>
      <c r="V20" s="280"/>
      <c r="W20" s="281"/>
      <c r="X20" s="79" t="str">
        <f>TEXT(MOD(V20-T20,1),"h:mm")</f>
        <v>0:00</v>
      </c>
      <c r="Y20" s="80"/>
      <c r="Z20" s="327"/>
      <c r="AA20" s="327"/>
      <c r="AB20" s="327"/>
      <c r="AC20" s="327"/>
      <c r="AD20" s="327"/>
      <c r="AE20" s="327"/>
      <c r="AF20" s="327"/>
      <c r="AG20" s="311">
        <f>SUM(BB7:BB9)</f>
        <v>0</v>
      </c>
      <c r="AH20" s="328"/>
      <c r="AI20" s="311">
        <f>SUM(BB10:BB12)</f>
        <v>0</v>
      </c>
      <c r="AJ20" s="328"/>
      <c r="AK20" s="94"/>
      <c r="AL20" s="311">
        <f>SUM(BB13:BB15)</f>
        <v>54950</v>
      </c>
      <c r="AM20" s="329"/>
      <c r="AN20" s="328"/>
      <c r="AO20" s="311">
        <f>SUM(AG20:AN20)</f>
        <v>54950</v>
      </c>
      <c r="AP20" s="312"/>
      <c r="AQ20" s="312"/>
      <c r="AR20" s="312"/>
      <c r="AS20" s="313"/>
      <c r="AT20" s="91" t="s">
        <v>65</v>
      </c>
      <c r="AU20" s="314">
        <f>SUM(AS13:AS15)</f>
        <v>752</v>
      </c>
      <c r="AV20" s="315"/>
      <c r="AW20" s="99">
        <f>SUM(AT13:AT15)</f>
        <v>60</v>
      </c>
      <c r="AX20" s="99">
        <f>SUM(AV13:AV15)</f>
        <v>0</v>
      </c>
      <c r="AY20" s="99">
        <f>SUM(AU13:AU15)</f>
        <v>3</v>
      </c>
      <c r="AZ20" s="99">
        <f>SUM(AW13:AW15)</f>
        <v>30</v>
      </c>
      <c r="BA20" s="316">
        <f>SUM(AU20:AZ20)</f>
        <v>845</v>
      </c>
      <c r="BB20" s="317"/>
    </row>
    <row r="21" spans="18:62" ht="60.75" customHeight="1">
      <c r="S21" s="78">
        <v>4</v>
      </c>
      <c r="T21" s="278"/>
      <c r="U21" s="279"/>
      <c r="V21" s="280"/>
      <c r="W21" s="281"/>
      <c r="X21" s="79" t="str">
        <f>TEXT(MOD(V21-T21,1),"h:mm")</f>
        <v>0:00</v>
      </c>
      <c r="Y21" s="80"/>
      <c r="Z21" s="318"/>
      <c r="AA21" s="318"/>
      <c r="AB21" s="318"/>
      <c r="AC21" s="318"/>
      <c r="AD21" s="318"/>
      <c r="AE21" s="318"/>
      <c r="AF21" s="318"/>
      <c r="AG21" s="319" t="s">
        <v>54</v>
      </c>
      <c r="AH21" s="320"/>
      <c r="AI21" s="320"/>
      <c r="AJ21" s="320"/>
      <c r="AK21" s="320"/>
      <c r="AL21" s="320"/>
      <c r="AM21" s="320"/>
      <c r="AN21" s="320"/>
      <c r="AO21" s="320"/>
      <c r="AP21" s="320"/>
      <c r="AQ21" s="320"/>
      <c r="AR21" s="320"/>
      <c r="AS21" s="321"/>
      <c r="AT21" s="322" t="s">
        <v>55</v>
      </c>
      <c r="AU21" s="323"/>
      <c r="AV21" s="324"/>
      <c r="AW21" s="325">
        <v>1680</v>
      </c>
      <c r="AX21" s="326"/>
      <c r="AY21" s="322" t="s">
        <v>56</v>
      </c>
      <c r="AZ21" s="324"/>
      <c r="BA21" s="330">
        <v>1628</v>
      </c>
      <c r="BB21" s="331"/>
    </row>
    <row r="22" spans="18:62" ht="54" customHeight="1">
      <c r="S22" s="78">
        <v>5</v>
      </c>
      <c r="T22" s="278"/>
      <c r="U22" s="279"/>
      <c r="V22" s="280"/>
      <c r="W22" s="281"/>
      <c r="X22" s="79" t="str">
        <f>TEXT(MOD(V22-T22,1),"h:mm")</f>
        <v>0:00</v>
      </c>
      <c r="Y22" s="80"/>
      <c r="Z22" s="318"/>
      <c r="AA22" s="318"/>
      <c r="AB22" s="318"/>
      <c r="AC22" s="318"/>
      <c r="AD22" s="318"/>
      <c r="AE22" s="318"/>
      <c r="AF22" s="318"/>
      <c r="AG22" s="357">
        <f>SUM(AY7:BA9)</f>
        <v>0</v>
      </c>
      <c r="AH22" s="357"/>
      <c r="AI22" s="298">
        <f>SUM(AY10:BA12)</f>
        <v>0</v>
      </c>
      <c r="AJ22" s="298"/>
      <c r="AK22" s="95"/>
      <c r="AL22" s="358">
        <f>SUM(AY13:BA15)</f>
        <v>2000</v>
      </c>
      <c r="AM22" s="358"/>
      <c r="AN22" s="359"/>
      <c r="AO22" s="360">
        <f>SUM(AG22:AN22)</f>
        <v>2000</v>
      </c>
      <c r="AP22" s="361"/>
      <c r="AQ22" s="361"/>
      <c r="AR22" s="361"/>
      <c r="AS22" s="362"/>
      <c r="AT22" s="98" t="s">
        <v>69</v>
      </c>
      <c r="AU22" s="363" t="s">
        <v>48</v>
      </c>
      <c r="AV22" s="364"/>
      <c r="AW22" s="365" t="s">
        <v>49</v>
      </c>
      <c r="AX22" s="366"/>
      <c r="AY22" s="332" t="s">
        <v>68</v>
      </c>
      <c r="AZ22" s="333"/>
      <c r="BA22" s="334" t="s">
        <v>57</v>
      </c>
      <c r="BB22" s="335"/>
    </row>
    <row r="23" spans="18:62" ht="59.25" customHeight="1">
      <c r="S23" s="336" t="s">
        <v>61</v>
      </c>
      <c r="T23" s="337"/>
      <c r="U23" s="337"/>
      <c r="V23" s="337"/>
      <c r="W23" s="338"/>
      <c r="X23" s="85">
        <f>SUM(X18+X19+X20+X21+X22)</f>
        <v>0</v>
      </c>
      <c r="Y23" s="118" t="s">
        <v>62</v>
      </c>
      <c r="Z23" s="86"/>
      <c r="AA23" s="87"/>
      <c r="AB23" s="87"/>
      <c r="AC23" s="339" t="s">
        <v>63</v>
      </c>
      <c r="AD23" s="339"/>
      <c r="AE23" s="340"/>
      <c r="AF23" s="341"/>
      <c r="AG23" s="342" t="s">
        <v>22</v>
      </c>
      <c r="AH23" s="343"/>
      <c r="AI23" s="344"/>
      <c r="AJ23" s="345" t="s">
        <v>48</v>
      </c>
      <c r="AK23" s="346"/>
      <c r="AL23" s="346"/>
      <c r="AM23" s="347"/>
      <c r="AN23" s="348" t="s">
        <v>49</v>
      </c>
      <c r="AO23" s="348"/>
      <c r="AP23" s="348"/>
      <c r="AQ23" s="349" t="s">
        <v>68</v>
      </c>
      <c r="AR23" s="350"/>
      <c r="AS23" s="351"/>
      <c r="AT23" s="96" t="s">
        <v>60</v>
      </c>
      <c r="AU23" s="352">
        <f>SUM(AQ7:AQ9)</f>
        <v>0</v>
      </c>
      <c r="AV23" s="353"/>
      <c r="AW23" s="352">
        <f>SUM(AQ10:AQ12)</f>
        <v>0</v>
      </c>
      <c r="AX23" s="354"/>
      <c r="AY23" s="352">
        <f>SUM(AQ13:AQ15)</f>
        <v>24</v>
      </c>
      <c r="AZ23" s="353"/>
      <c r="BA23" s="355">
        <f>SUM(AU23:AZ23)</f>
        <v>24</v>
      </c>
      <c r="BB23" s="356"/>
    </row>
    <row r="24" spans="18:62" ht="57" customHeight="1">
      <c r="S24" s="367"/>
      <c r="T24" s="368"/>
      <c r="U24" s="368"/>
      <c r="V24" s="368"/>
      <c r="W24" s="369"/>
      <c r="X24" s="373" t="s">
        <v>73</v>
      </c>
      <c r="Y24" s="104" t="s">
        <v>70</v>
      </c>
      <c r="Z24" s="105" t="s">
        <v>71</v>
      </c>
      <c r="AA24" s="103"/>
      <c r="AB24" s="103"/>
      <c r="AC24" s="375" t="s">
        <v>72</v>
      </c>
      <c r="AD24" s="376"/>
      <c r="AE24" s="377" t="s">
        <v>57</v>
      </c>
      <c r="AF24" s="378"/>
      <c r="AG24" s="379" t="s">
        <v>58</v>
      </c>
      <c r="AH24" s="380"/>
      <c r="AI24" s="381"/>
      <c r="AJ24" s="382">
        <f>AVERAGE(Z7:Z8)</f>
        <v>0</v>
      </c>
      <c r="AK24" s="383"/>
      <c r="AL24" s="383"/>
      <c r="AM24" s="383"/>
      <c r="AN24" s="382">
        <f>AVERAGE(Z10:Z11)</f>
        <v>0</v>
      </c>
      <c r="AO24" s="383"/>
      <c r="AP24" s="383"/>
      <c r="AQ24" s="382">
        <f>AVERAGE(Z13:Z15)</f>
        <v>0.17453703703703707</v>
      </c>
      <c r="AR24" s="383"/>
      <c r="AS24" s="383"/>
      <c r="AT24" s="97" t="s">
        <v>64</v>
      </c>
      <c r="AU24" s="387">
        <f>SUM(AL7:AP9)</f>
        <v>0</v>
      </c>
      <c r="AV24" s="388"/>
      <c r="AW24" s="387">
        <f>SUM(AL10:AP12)</f>
        <v>0</v>
      </c>
      <c r="AX24" s="388"/>
      <c r="AY24" s="387">
        <f>SUM(AL13:AP15)</f>
        <v>5</v>
      </c>
      <c r="AZ24" s="388"/>
      <c r="BA24" s="389">
        <f>SUM(AU24:AZ24)</f>
        <v>5</v>
      </c>
      <c r="BB24" s="390"/>
    </row>
    <row r="25" spans="18:62" ht="52.5" customHeight="1">
      <c r="S25" s="370"/>
      <c r="T25" s="371"/>
      <c r="U25" s="371"/>
      <c r="V25" s="371"/>
      <c r="W25" s="372"/>
      <c r="X25" s="374"/>
      <c r="Y25" s="106">
        <f>SUM(AD7:AD9)</f>
        <v>0</v>
      </c>
      <c r="Z25" s="106">
        <f>SUM(AD10:AD11)</f>
        <v>0</v>
      </c>
      <c r="AA25" s="107"/>
      <c r="AB25" s="107"/>
      <c r="AC25" s="391">
        <f>SUM(AD13:AD15)</f>
        <v>8.3333333333333343E-2</v>
      </c>
      <c r="AD25" s="392"/>
      <c r="AE25" s="393">
        <f>SUM(Y25:AD25)</f>
        <v>8.3333333333333343E-2</v>
      </c>
      <c r="AF25" s="394"/>
      <c r="AG25" s="379" t="s">
        <v>59</v>
      </c>
      <c r="AH25" s="380"/>
      <c r="AI25" s="381"/>
      <c r="AJ25" s="382">
        <f>SUM(Z7:Z9)</f>
        <v>0</v>
      </c>
      <c r="AK25" s="383"/>
      <c r="AL25" s="383"/>
      <c r="AM25" s="383"/>
      <c r="AN25" s="382">
        <f>SUM(Z10:Z12)</f>
        <v>0</v>
      </c>
      <c r="AO25" s="383"/>
      <c r="AP25" s="383"/>
      <c r="AQ25" s="382">
        <f>SUM(Z13:Z15)</f>
        <v>0.52361111111111125</v>
      </c>
      <c r="AR25" s="383"/>
      <c r="AS25" s="383"/>
      <c r="AT25" s="384"/>
      <c r="AU25" s="385"/>
      <c r="AV25" s="385"/>
      <c r="AW25" s="385"/>
      <c r="AX25" s="385"/>
      <c r="AY25" s="385"/>
      <c r="AZ25" s="385"/>
      <c r="BA25" s="385"/>
      <c r="BB25" s="386"/>
    </row>
    <row r="26" spans="18:62" ht="60.75" customHeight="1"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8:62" ht="30" customHeight="1"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8:62" ht="30" customHeight="1"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T28" s="4"/>
      <c r="AU28" s="4"/>
      <c r="AV28" s="4"/>
      <c r="AW28" s="4"/>
      <c r="AX28" s="4"/>
      <c r="AY28" s="4"/>
      <c r="AZ28" s="4"/>
      <c r="BA28" s="4"/>
    </row>
    <row r="29" spans="18:62" ht="30" customHeight="1"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T29" s="4"/>
      <c r="AU29" s="4"/>
      <c r="AV29" s="4"/>
      <c r="AW29" s="4"/>
      <c r="AX29" s="4"/>
      <c r="AY29" s="4"/>
      <c r="AZ29" s="4"/>
      <c r="BA29" s="4"/>
    </row>
    <row r="30" spans="18:62" ht="30" customHeight="1">
      <c r="R30" s="3"/>
      <c r="S30" s="3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T30" s="4"/>
      <c r="AU30" s="4"/>
      <c r="AV30" s="4"/>
      <c r="AW30" s="4"/>
      <c r="AX30" s="4"/>
      <c r="AY30" s="4"/>
      <c r="AZ30" s="4"/>
      <c r="BA30" s="4"/>
    </row>
    <row r="31" spans="18:62" ht="30" customHeight="1">
      <c r="R31" s="3"/>
      <c r="S31" s="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T31" s="4"/>
      <c r="AU31" s="4"/>
      <c r="AV31" s="4"/>
      <c r="AW31" s="4"/>
      <c r="AX31" s="4"/>
      <c r="AY31" s="4"/>
      <c r="AZ31" s="4"/>
      <c r="BA31" s="4"/>
    </row>
    <row r="32" spans="18:62" ht="15" customHeight="1">
      <c r="S32" s="3"/>
      <c r="BJ32" s="4">
        <v>8</v>
      </c>
    </row>
  </sheetData>
  <mergeCells count="145">
    <mergeCell ref="S24:W25"/>
    <mergeCell ref="X24:X25"/>
    <mergeCell ref="AC24:AD24"/>
    <mergeCell ref="AE24:AF24"/>
    <mergeCell ref="AG24:AI24"/>
    <mergeCell ref="AJ24:AM24"/>
    <mergeCell ref="AN24:AP24"/>
    <mergeCell ref="AQ25:AS25"/>
    <mergeCell ref="AT25:BB25"/>
    <mergeCell ref="AQ24:AS24"/>
    <mergeCell ref="AU24:AV24"/>
    <mergeCell ref="AW24:AX24"/>
    <mergeCell ref="AY24:AZ24"/>
    <mergeCell ref="BA24:BB24"/>
    <mergeCell ref="AC25:AD25"/>
    <mergeCell ref="AE25:AF25"/>
    <mergeCell ref="AG25:AI25"/>
    <mergeCell ref="AJ25:AM25"/>
    <mergeCell ref="AN25:AP25"/>
    <mergeCell ref="AY22:AZ22"/>
    <mergeCell ref="BA22:BB22"/>
    <mergeCell ref="S23:W23"/>
    <mergeCell ref="AC23:AD23"/>
    <mergeCell ref="AE23:AF23"/>
    <mergeCell ref="AG23:AI23"/>
    <mergeCell ref="AJ23:AM23"/>
    <mergeCell ref="AN23:AP23"/>
    <mergeCell ref="AQ23:AS23"/>
    <mergeCell ref="AU23:AV23"/>
    <mergeCell ref="AW23:AX23"/>
    <mergeCell ref="AY23:AZ23"/>
    <mergeCell ref="BA23:BB23"/>
    <mergeCell ref="T22:U22"/>
    <mergeCell ref="V22:W22"/>
    <mergeCell ref="Z22:AF22"/>
    <mergeCell ref="AG22:AH22"/>
    <mergeCell ref="AI22:AJ22"/>
    <mergeCell ref="AL22:AN22"/>
    <mergeCell ref="AO22:AS22"/>
    <mergeCell ref="AU22:AV22"/>
    <mergeCell ref="AW22:AX22"/>
    <mergeCell ref="AO20:AS20"/>
    <mergeCell ref="AU20:AV20"/>
    <mergeCell ref="BA20:BB20"/>
    <mergeCell ref="T21:U21"/>
    <mergeCell ref="V21:W21"/>
    <mergeCell ref="Z21:AF21"/>
    <mergeCell ref="AG21:AS21"/>
    <mergeCell ref="AT21:AV21"/>
    <mergeCell ref="AW21:AX21"/>
    <mergeCell ref="AY21:AZ21"/>
    <mergeCell ref="T20:U20"/>
    <mergeCell ref="V20:W20"/>
    <mergeCell ref="Z20:AF20"/>
    <mergeCell ref="AG20:AH20"/>
    <mergeCell ref="AI20:AJ20"/>
    <mergeCell ref="AL20:AN20"/>
    <mergeCell ref="BA21:BB21"/>
    <mergeCell ref="AU18:AV18"/>
    <mergeCell ref="BA18:BB18"/>
    <mergeCell ref="T19:U19"/>
    <mergeCell ref="V19:W19"/>
    <mergeCell ref="Z19:AF19"/>
    <mergeCell ref="AG19:AS19"/>
    <mergeCell ref="AU19:AV19"/>
    <mergeCell ref="BA19:BB19"/>
    <mergeCell ref="AO17:AS17"/>
    <mergeCell ref="AU17:AV17"/>
    <mergeCell ref="BA17:BB17"/>
    <mergeCell ref="T18:U18"/>
    <mergeCell ref="V18:W18"/>
    <mergeCell ref="Z18:AF18"/>
    <mergeCell ref="AG18:AH18"/>
    <mergeCell ref="AI18:AJ18"/>
    <mergeCell ref="AL18:AN18"/>
    <mergeCell ref="AO18:AS18"/>
    <mergeCell ref="T17:U17"/>
    <mergeCell ref="V17:W17"/>
    <mergeCell ref="Z17:AF17"/>
    <mergeCell ref="AG17:AH17"/>
    <mergeCell ref="AI17:AJ17"/>
    <mergeCell ref="AL17:AN17"/>
    <mergeCell ref="S16:AF16"/>
    <mergeCell ref="AG16:AS16"/>
    <mergeCell ref="AT16:BB16"/>
    <mergeCell ref="AU5:AU6"/>
    <mergeCell ref="AV5:AV6"/>
    <mergeCell ref="AW5:AW6"/>
    <mergeCell ref="AX5:AX6"/>
    <mergeCell ref="AY5:AY6"/>
    <mergeCell ref="AZ5:AZ6"/>
    <mergeCell ref="AH5:AH6"/>
    <mergeCell ref="AI5:AI6"/>
    <mergeCell ref="AJ5:AJ6"/>
    <mergeCell ref="AK5:AR5"/>
    <mergeCell ref="AS5:AS6"/>
    <mergeCell ref="AT5:AT6"/>
    <mergeCell ref="AB5:AB6"/>
    <mergeCell ref="AC5:AC6"/>
    <mergeCell ref="AD5:AD6"/>
    <mergeCell ref="AE5:AE6"/>
    <mergeCell ref="S4:Z4"/>
    <mergeCell ref="AA4:AB4"/>
    <mergeCell ref="AC4:AD4"/>
    <mergeCell ref="AE4:AJ4"/>
    <mergeCell ref="AL4:AQ4"/>
    <mergeCell ref="AS4:AW4"/>
    <mergeCell ref="T7:T9"/>
    <mergeCell ref="T10:T12"/>
    <mergeCell ref="T13:T15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Q1:AT1"/>
    <mergeCell ref="AU1:AW1"/>
    <mergeCell ref="AF5:AF6"/>
    <mergeCell ref="AG5:AG6"/>
    <mergeCell ref="AX1:BB3"/>
    <mergeCell ref="AC2:AE2"/>
    <mergeCell ref="AF2:AH2"/>
    <mergeCell ref="AI2:AL2"/>
    <mergeCell ref="AM2:AP2"/>
    <mergeCell ref="AQ2:AT2"/>
    <mergeCell ref="AU2:AW2"/>
    <mergeCell ref="AC3:AE3"/>
    <mergeCell ref="AQ3:AT3"/>
    <mergeCell ref="AU3:AW3"/>
    <mergeCell ref="AX4:BB4"/>
    <mergeCell ref="BA5:BA6"/>
    <mergeCell ref="BB5:BB6"/>
    <mergeCell ref="S1:W3"/>
    <mergeCell ref="X1:Y3"/>
    <mergeCell ref="AC1:AE1"/>
    <mergeCell ref="AF1:AH1"/>
    <mergeCell ref="AI1:AL1"/>
    <mergeCell ref="AM1:AP1"/>
    <mergeCell ref="AF3:AH3"/>
    <mergeCell ref="AI3:AL3"/>
    <mergeCell ref="AM3:AP3"/>
  </mergeCells>
  <conditionalFormatting sqref="Z7:Z15">
    <cfRule type="cellIs" dxfId="38" priority="3" operator="greaterThan">
      <formula>0.167361111111111</formula>
    </cfRule>
    <cfRule type="cellIs" dxfId="37" priority="4" operator="greaterThan">
      <formula>0.15625</formula>
    </cfRule>
  </conditionalFormatting>
  <conditionalFormatting sqref="AA7:AJ15">
    <cfRule type="cellIs" dxfId="36" priority="11" operator="between">
      <formula>1700</formula>
      <formula>1710</formula>
    </cfRule>
    <cfRule type="cellIs" dxfId="35" priority="12" operator="between">
      <formula>1691</formula>
      <formula>1700</formula>
    </cfRule>
  </conditionalFormatting>
  <conditionalFormatting sqref="AS7:AS15">
    <cfRule type="expression" dxfId="34" priority="13">
      <formula>IF(($AS7/$AX7)*1000&gt;$AY$1,1,0)</formula>
    </cfRule>
  </conditionalFormatting>
  <conditionalFormatting sqref="AT7:AW15">
    <cfRule type="cellIs" dxfId="33" priority="5" operator="greaterThan">
      <formula>10</formula>
    </cfRule>
  </conditionalFormatting>
  <conditionalFormatting sqref="AX7:AX15">
    <cfRule type="cellIs" dxfId="32" priority="2" operator="between">
      <formula>16000</formula>
      <formula>17200</formula>
    </cfRule>
    <cfRule type="cellIs" dxfId="31" priority="6" operator="lessThan">
      <formula>15800</formula>
    </cfRule>
    <cfRule type="cellIs" dxfId="30" priority="7" operator="greaterThan">
      <formula>18000</formula>
    </cfRule>
  </conditionalFormatting>
  <conditionalFormatting sqref="AZ7:BA15">
    <cfRule type="cellIs" dxfId="29" priority="10" operator="greaterThan">
      <formula>0</formula>
    </cfRule>
  </conditionalFormatting>
  <conditionalFormatting sqref="BB7:BB15">
    <cfRule type="cellIs" dxfId="28" priority="1" operator="between">
      <formula>16000</formula>
      <formula>17200</formula>
    </cfRule>
    <cfRule type="cellIs" dxfId="27" priority="8" operator="greaterThan">
      <formula>18000</formula>
    </cfRule>
    <cfRule type="cellIs" dxfId="26" priority="9" operator="lessThan">
      <formula>15800</formula>
    </cfRule>
  </conditionalFormatting>
  <printOptions horizontalCentered="1" verticalCentered="1"/>
  <pageMargins left="0" right="0" top="0" bottom="0.21" header="0" footer="0"/>
  <pageSetup paperSize="9" scale="42" orientation="landscape" cellComments="asDisplayed" r:id="rId1"/>
  <headerFooter differentFirst="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30B14-F039-414D-8236-AF024A8D5A0B}">
  <sheetPr>
    <tabColor theme="5"/>
    <pageSetUpPr fitToPage="1"/>
  </sheetPr>
  <dimension ref="R1:BJ32"/>
  <sheetViews>
    <sheetView showGridLines="0" rightToLeft="1" topLeftCell="AF13" zoomScale="55" zoomScaleNormal="55" zoomScalePageLayoutView="40" workbookViewId="0">
      <selection activeCell="AQ25" sqref="AQ25:AS25"/>
    </sheetView>
  </sheetViews>
  <sheetFormatPr defaultColWidth="9.140625" defaultRowHeight="15"/>
  <cols>
    <col min="1" max="18" width="9.140625" style="4"/>
    <col min="19" max="19" width="5.7109375" style="4" customWidth="1"/>
    <col min="20" max="20" width="9.5703125" style="3" customWidth="1"/>
    <col min="21" max="21" width="10.7109375" style="3" customWidth="1"/>
    <col min="22" max="22" width="9.42578125" style="88" customWidth="1"/>
    <col min="23" max="23" width="8.85546875" style="88" customWidth="1"/>
    <col min="24" max="24" width="14.42578125" style="3" customWidth="1"/>
    <col min="25" max="25" width="14.7109375" style="3" customWidth="1"/>
    <col min="26" max="26" width="15.140625" style="88" customWidth="1"/>
    <col min="27" max="27" width="9.5703125" style="3" hidden="1" customWidth="1"/>
    <col min="28" max="28" width="10" style="3" hidden="1" customWidth="1"/>
    <col min="29" max="29" width="8.140625" style="3" customWidth="1"/>
    <col min="30" max="30" width="8.5703125" style="3" customWidth="1"/>
    <col min="31" max="31" width="12.42578125" style="3" customWidth="1"/>
    <col min="32" max="32" width="10.5703125" style="3" customWidth="1"/>
    <col min="33" max="33" width="9.5703125" style="3" customWidth="1"/>
    <col min="34" max="34" width="11.42578125" style="3" customWidth="1"/>
    <col min="35" max="35" width="9.42578125" style="3" customWidth="1"/>
    <col min="36" max="36" width="9.28515625" style="3" customWidth="1"/>
    <col min="37" max="37" width="6.7109375" style="3" hidden="1" customWidth="1"/>
    <col min="38" max="42" width="6.7109375" style="3" customWidth="1"/>
    <col min="43" max="43" width="8.140625" style="3" customWidth="1"/>
    <col min="44" max="44" width="6.7109375" style="3" hidden="1" customWidth="1"/>
    <col min="45" max="45" width="10.42578125" style="3" customWidth="1"/>
    <col min="46" max="46" width="8.7109375" style="3" customWidth="1"/>
    <col min="47" max="47" width="8.5703125" style="3" customWidth="1"/>
    <col min="48" max="48" width="8.7109375" style="3" customWidth="1"/>
    <col min="49" max="49" width="9.5703125" style="3" customWidth="1"/>
    <col min="50" max="50" width="12.42578125" style="88" customWidth="1"/>
    <col min="51" max="51" width="11.85546875" style="3" customWidth="1"/>
    <col min="52" max="52" width="11.5703125" style="3" customWidth="1"/>
    <col min="53" max="53" width="13.42578125" style="3" customWidth="1"/>
    <col min="54" max="54" width="13.5703125" style="4" customWidth="1"/>
    <col min="55" max="57" width="9.140625" style="4"/>
    <col min="58" max="58" width="25" style="4" customWidth="1"/>
    <col min="59" max="61" width="9.140625" style="4"/>
    <col min="62" max="62" width="23.5703125" style="4" customWidth="1"/>
    <col min="63" max="16384" width="9.140625" style="4"/>
  </cols>
  <sheetData>
    <row r="1" spans="19:54" ht="36.75" customHeight="1" thickBot="1">
      <c r="S1" s="180"/>
      <c r="T1" s="181"/>
      <c r="U1" s="181"/>
      <c r="V1" s="181"/>
      <c r="W1" s="181"/>
      <c r="X1" s="182" t="s">
        <v>0</v>
      </c>
      <c r="Y1" s="183"/>
      <c r="Z1" s="1" t="s">
        <v>1</v>
      </c>
      <c r="AA1" s="2"/>
      <c r="AC1" s="188" t="s">
        <v>2</v>
      </c>
      <c r="AD1" s="189"/>
      <c r="AE1" s="189"/>
      <c r="AF1" s="190" t="s">
        <v>75</v>
      </c>
      <c r="AG1" s="191"/>
      <c r="AH1" s="192"/>
      <c r="AI1" s="193" t="s">
        <v>3</v>
      </c>
      <c r="AJ1" s="194"/>
      <c r="AK1" s="194"/>
      <c r="AL1" s="195"/>
      <c r="AM1" s="196" t="s">
        <v>76</v>
      </c>
      <c r="AN1" s="197"/>
      <c r="AO1" s="197"/>
      <c r="AP1" s="198"/>
      <c r="AQ1" s="203" t="s">
        <v>4</v>
      </c>
      <c r="AR1" s="204"/>
      <c r="AS1" s="204"/>
      <c r="AT1" s="205"/>
      <c r="AU1" s="206" t="s">
        <v>74</v>
      </c>
      <c r="AV1" s="207"/>
      <c r="AW1" s="208"/>
      <c r="AX1" s="211" t="s">
        <v>94</v>
      </c>
      <c r="AY1" s="211"/>
      <c r="AZ1" s="211"/>
      <c r="BA1" s="211"/>
      <c r="BB1" s="211"/>
    </row>
    <row r="2" spans="19:54" ht="36.75" customHeight="1" thickBot="1">
      <c r="S2" s="180"/>
      <c r="T2" s="181"/>
      <c r="U2" s="181"/>
      <c r="V2" s="181"/>
      <c r="W2" s="181"/>
      <c r="X2" s="184"/>
      <c r="Y2" s="185"/>
      <c r="Z2" s="5" t="s">
        <v>5</v>
      </c>
      <c r="AA2" s="89"/>
      <c r="AC2" s="188" t="s">
        <v>2</v>
      </c>
      <c r="AD2" s="189"/>
      <c r="AE2" s="212"/>
      <c r="AF2" s="190" t="s">
        <v>78</v>
      </c>
      <c r="AG2" s="191"/>
      <c r="AH2" s="192"/>
      <c r="AI2" s="193" t="s">
        <v>3</v>
      </c>
      <c r="AJ2" s="194"/>
      <c r="AK2" s="194"/>
      <c r="AL2" s="195"/>
      <c r="AM2" s="202" t="s">
        <v>79</v>
      </c>
      <c r="AN2" s="202"/>
      <c r="AO2" s="202"/>
      <c r="AP2" s="202"/>
      <c r="AQ2" s="203" t="s">
        <v>4</v>
      </c>
      <c r="AR2" s="204"/>
      <c r="AS2" s="204"/>
      <c r="AT2" s="205"/>
      <c r="AU2" s="213" t="s">
        <v>77</v>
      </c>
      <c r="AV2" s="213"/>
      <c r="AW2" s="213"/>
      <c r="AX2" s="211"/>
      <c r="AY2" s="211"/>
      <c r="AZ2" s="211"/>
      <c r="BA2" s="211"/>
      <c r="BB2" s="211"/>
    </row>
    <row r="3" spans="19:54" ht="38.25" customHeight="1" thickBot="1">
      <c r="S3" s="181"/>
      <c r="T3" s="181"/>
      <c r="U3" s="181"/>
      <c r="V3" s="181"/>
      <c r="W3" s="181"/>
      <c r="X3" s="186"/>
      <c r="Y3" s="187"/>
      <c r="Z3" s="90" t="s">
        <v>65</v>
      </c>
      <c r="AA3" s="6"/>
      <c r="AC3" s="188" t="s">
        <v>6</v>
      </c>
      <c r="AD3" s="189"/>
      <c r="AE3" s="212"/>
      <c r="AF3" s="190" t="s">
        <v>81</v>
      </c>
      <c r="AG3" s="191"/>
      <c r="AH3" s="192"/>
      <c r="AI3" s="199" t="s">
        <v>7</v>
      </c>
      <c r="AJ3" s="200"/>
      <c r="AK3" s="200"/>
      <c r="AL3" s="201"/>
      <c r="AM3" s="202" t="s">
        <v>82</v>
      </c>
      <c r="AN3" s="202"/>
      <c r="AO3" s="202"/>
      <c r="AP3" s="202"/>
      <c r="AQ3" s="203" t="s">
        <v>4</v>
      </c>
      <c r="AR3" s="204"/>
      <c r="AS3" s="204"/>
      <c r="AT3" s="214"/>
      <c r="AU3" s="215" t="s">
        <v>80</v>
      </c>
      <c r="AV3" s="216"/>
      <c r="AW3" s="217"/>
      <c r="AX3" s="211"/>
      <c r="AY3" s="211"/>
      <c r="AZ3" s="211"/>
      <c r="BA3" s="211"/>
      <c r="BB3" s="211"/>
    </row>
    <row r="4" spans="19:54" ht="34.5" customHeight="1" thickBot="1">
      <c r="S4" s="225" t="s">
        <v>8</v>
      </c>
      <c r="T4" s="226"/>
      <c r="U4" s="226"/>
      <c r="V4" s="226"/>
      <c r="W4" s="226"/>
      <c r="X4" s="227"/>
      <c r="Y4" s="227"/>
      <c r="Z4" s="228"/>
      <c r="AA4" s="229" t="s">
        <v>9</v>
      </c>
      <c r="AB4" s="230"/>
      <c r="AC4" s="231" t="s">
        <v>10</v>
      </c>
      <c r="AD4" s="232"/>
      <c r="AE4" s="233" t="s">
        <v>11</v>
      </c>
      <c r="AF4" s="234"/>
      <c r="AG4" s="234"/>
      <c r="AH4" s="234"/>
      <c r="AI4" s="234"/>
      <c r="AJ4" s="235"/>
      <c r="AK4" s="7"/>
      <c r="AL4" s="236" t="s">
        <v>12</v>
      </c>
      <c r="AM4" s="237"/>
      <c r="AN4" s="237"/>
      <c r="AO4" s="237"/>
      <c r="AP4" s="237"/>
      <c r="AQ4" s="237"/>
      <c r="AR4" s="8"/>
      <c r="AS4" s="238" t="s">
        <v>13</v>
      </c>
      <c r="AT4" s="239"/>
      <c r="AU4" s="239"/>
      <c r="AV4" s="239"/>
      <c r="AW4" s="240"/>
      <c r="AX4" s="218" t="s">
        <v>14</v>
      </c>
      <c r="AY4" s="219"/>
      <c r="AZ4" s="219"/>
      <c r="BA4" s="219"/>
      <c r="BB4" s="220"/>
    </row>
    <row r="5" spans="19:54" ht="52.5" customHeight="1">
      <c r="S5" s="246" t="s">
        <v>15</v>
      </c>
      <c r="T5" s="248" t="s">
        <v>16</v>
      </c>
      <c r="U5" s="248" t="s">
        <v>17</v>
      </c>
      <c r="V5" s="248" t="s">
        <v>18</v>
      </c>
      <c r="W5" s="248" t="s">
        <v>19</v>
      </c>
      <c r="X5" s="248" t="s">
        <v>20</v>
      </c>
      <c r="Y5" s="248" t="s">
        <v>21</v>
      </c>
      <c r="Z5" s="250" t="s">
        <v>22</v>
      </c>
      <c r="AA5" s="252" t="s">
        <v>23</v>
      </c>
      <c r="AB5" s="270" t="s">
        <v>9</v>
      </c>
      <c r="AC5" s="272" t="s">
        <v>24</v>
      </c>
      <c r="AD5" s="272" t="s">
        <v>25</v>
      </c>
      <c r="AE5" s="274" t="s">
        <v>26</v>
      </c>
      <c r="AF5" s="209" t="s">
        <v>27</v>
      </c>
      <c r="AG5" s="209" t="s">
        <v>28</v>
      </c>
      <c r="AH5" s="263" t="s">
        <v>29</v>
      </c>
      <c r="AI5" s="263" t="s">
        <v>30</v>
      </c>
      <c r="AJ5" s="265" t="s">
        <v>31</v>
      </c>
      <c r="AK5" s="267" t="s">
        <v>32</v>
      </c>
      <c r="AL5" s="268"/>
      <c r="AM5" s="268"/>
      <c r="AN5" s="268"/>
      <c r="AO5" s="268"/>
      <c r="AP5" s="268"/>
      <c r="AQ5" s="268"/>
      <c r="AR5" s="269"/>
      <c r="AS5" s="259" t="s">
        <v>33</v>
      </c>
      <c r="AT5" s="259" t="s">
        <v>34</v>
      </c>
      <c r="AU5" s="259" t="s">
        <v>35</v>
      </c>
      <c r="AV5" s="259" t="s">
        <v>66</v>
      </c>
      <c r="AW5" s="261" t="s">
        <v>36</v>
      </c>
      <c r="AX5" s="252" t="s">
        <v>37</v>
      </c>
      <c r="AY5" s="221" t="s">
        <v>38</v>
      </c>
      <c r="AZ5" s="221" t="s">
        <v>39</v>
      </c>
      <c r="BA5" s="221" t="s">
        <v>40</v>
      </c>
      <c r="BB5" s="223" t="s">
        <v>41</v>
      </c>
    </row>
    <row r="6" spans="19:54" ht="27.95" customHeight="1" thickBot="1">
      <c r="S6" s="247"/>
      <c r="T6" s="249"/>
      <c r="U6" s="249"/>
      <c r="V6" s="249"/>
      <c r="W6" s="249"/>
      <c r="X6" s="249"/>
      <c r="Y6" s="249"/>
      <c r="Z6" s="251"/>
      <c r="AA6" s="253"/>
      <c r="AB6" s="271"/>
      <c r="AC6" s="273"/>
      <c r="AD6" s="273"/>
      <c r="AE6" s="275"/>
      <c r="AF6" s="210"/>
      <c r="AG6" s="210"/>
      <c r="AH6" s="264"/>
      <c r="AI6" s="264"/>
      <c r="AJ6" s="266"/>
      <c r="AK6" s="9">
        <v>1</v>
      </c>
      <c r="AL6" s="10">
        <v>2</v>
      </c>
      <c r="AM6" s="10">
        <v>3</v>
      </c>
      <c r="AN6" s="10">
        <v>4</v>
      </c>
      <c r="AO6" s="10">
        <v>5</v>
      </c>
      <c r="AP6" s="10">
        <v>6</v>
      </c>
      <c r="AQ6" s="10">
        <v>12</v>
      </c>
      <c r="AR6" s="11"/>
      <c r="AS6" s="260"/>
      <c r="AT6" s="260"/>
      <c r="AU6" s="260"/>
      <c r="AV6" s="260"/>
      <c r="AW6" s="262"/>
      <c r="AX6" s="253"/>
      <c r="AY6" s="222"/>
      <c r="AZ6" s="222"/>
      <c r="BA6" s="222"/>
      <c r="BB6" s="224"/>
    </row>
    <row r="7" spans="19:54" s="34" customFormat="1" ht="48" customHeight="1" thickBot="1">
      <c r="S7" s="12">
        <v>1</v>
      </c>
      <c r="T7" s="241" t="s">
        <v>1</v>
      </c>
      <c r="U7" s="13"/>
      <c r="V7" s="14"/>
      <c r="W7" s="15"/>
      <c r="X7" s="16"/>
      <c r="Y7" s="17"/>
      <c r="Z7" s="18">
        <f t="shared" ref="Z7:Z15" si="0">IF(Y7&lt;X7,1+Y7-X7,Y7-X7)</f>
        <v>0</v>
      </c>
      <c r="AA7" s="19"/>
      <c r="AB7" s="20"/>
      <c r="AC7" s="149"/>
      <c r="AD7" s="100"/>
      <c r="AE7" s="22"/>
      <c r="AF7" s="23"/>
      <c r="AG7" s="23"/>
      <c r="AH7" s="23"/>
      <c r="AI7" s="23"/>
      <c r="AJ7" s="24"/>
      <c r="AK7" s="25"/>
      <c r="AL7" s="26"/>
      <c r="AM7" s="26"/>
      <c r="AN7" s="26"/>
      <c r="AO7" s="26"/>
      <c r="AP7" s="26"/>
      <c r="AQ7" s="26"/>
      <c r="AR7" s="27"/>
      <c r="AS7" s="28"/>
      <c r="AT7" s="13"/>
      <c r="AU7" s="13"/>
      <c r="AV7" s="13"/>
      <c r="AW7" s="29"/>
      <c r="AX7" s="30">
        <f t="shared" ref="AX7:AX15" si="1">SUM(AY7:BB7)</f>
        <v>0</v>
      </c>
      <c r="AY7" s="31">
        <v>0</v>
      </c>
      <c r="AZ7" s="32">
        <v>0</v>
      </c>
      <c r="BA7" s="31">
        <v>0</v>
      </c>
      <c r="BB7" s="33">
        <f t="shared" ref="BB7:BB15" si="2">SUM(($AQ$6*AQ7+$AP$6*AP7+$AN$6*AN7+$AM$6*$AM7+$AL$6*AL7+$AK$6*AK7+$AO$6*AO7+$AR$6*AR7)*175)</f>
        <v>0</v>
      </c>
    </row>
    <row r="8" spans="19:54" s="34" customFormat="1" ht="48" customHeight="1" thickBot="1">
      <c r="S8" s="12">
        <v>2</v>
      </c>
      <c r="T8" s="242"/>
      <c r="U8" s="35"/>
      <c r="V8" s="119"/>
      <c r="W8" s="119"/>
      <c r="X8" s="36"/>
      <c r="Y8" s="36"/>
      <c r="Z8" s="37">
        <f t="shared" si="0"/>
        <v>0</v>
      </c>
      <c r="AA8" s="38"/>
      <c r="AB8" s="39"/>
      <c r="AC8" s="147"/>
      <c r="AD8" s="101"/>
      <c r="AE8" s="41"/>
      <c r="AF8" s="42"/>
      <c r="AG8" s="42"/>
      <c r="AH8" s="42"/>
      <c r="AI8" s="42"/>
      <c r="AJ8" s="43"/>
      <c r="AK8" s="44"/>
      <c r="AL8" s="45"/>
      <c r="AM8" s="45"/>
      <c r="AN8" s="45"/>
      <c r="AO8" s="45"/>
      <c r="AP8" s="45"/>
      <c r="AQ8" s="45"/>
      <c r="AR8" s="46"/>
      <c r="AS8" s="47"/>
      <c r="AT8" s="35"/>
      <c r="AU8" s="35"/>
      <c r="AV8" s="35"/>
      <c r="AW8" s="48"/>
      <c r="AX8" s="49">
        <f t="shared" si="1"/>
        <v>0</v>
      </c>
      <c r="AY8" s="50">
        <v>0</v>
      </c>
      <c r="AZ8" s="51">
        <v>0</v>
      </c>
      <c r="BA8" s="52">
        <v>0</v>
      </c>
      <c r="BB8" s="53">
        <f t="shared" si="2"/>
        <v>0</v>
      </c>
    </row>
    <row r="9" spans="19:54" s="34" customFormat="1" ht="48" customHeight="1" thickBot="1">
      <c r="S9" s="12">
        <v>3</v>
      </c>
      <c r="T9" s="242"/>
      <c r="U9" s="35"/>
      <c r="V9" s="119"/>
      <c r="W9" s="119"/>
      <c r="X9" s="36"/>
      <c r="Y9" s="36"/>
      <c r="Z9" s="37">
        <f t="shared" si="0"/>
        <v>0</v>
      </c>
      <c r="AA9" s="38"/>
      <c r="AB9" s="39"/>
      <c r="AC9" s="147"/>
      <c r="AD9" s="101"/>
      <c r="AE9" s="41"/>
      <c r="AF9" s="42"/>
      <c r="AG9" s="42"/>
      <c r="AH9" s="42"/>
      <c r="AI9" s="42"/>
      <c r="AJ9" s="43"/>
      <c r="AK9" s="44"/>
      <c r="AL9" s="45"/>
      <c r="AM9" s="45"/>
      <c r="AN9" s="45"/>
      <c r="AO9" s="45"/>
      <c r="AP9" s="45"/>
      <c r="AQ9" s="45"/>
      <c r="AR9" s="46"/>
      <c r="AS9" s="47"/>
      <c r="AT9" s="35"/>
      <c r="AU9" s="35"/>
      <c r="AV9" s="35"/>
      <c r="AW9" s="48"/>
      <c r="AX9" s="49">
        <f t="shared" si="1"/>
        <v>0</v>
      </c>
      <c r="AY9" s="51">
        <v>0</v>
      </c>
      <c r="AZ9" s="52">
        <v>0</v>
      </c>
      <c r="BA9" s="51">
        <v>0</v>
      </c>
      <c r="BB9" s="53">
        <f t="shared" si="2"/>
        <v>0</v>
      </c>
    </row>
    <row r="10" spans="19:54" s="34" customFormat="1" ht="48" customHeight="1" thickBot="1">
      <c r="S10" s="12">
        <v>4</v>
      </c>
      <c r="T10" s="243" t="s">
        <v>5</v>
      </c>
      <c r="U10" s="35"/>
      <c r="V10" s="119"/>
      <c r="W10" s="119"/>
      <c r="X10" s="36"/>
      <c r="Y10" s="36"/>
      <c r="Z10" s="37">
        <f t="shared" si="0"/>
        <v>0</v>
      </c>
      <c r="AA10" s="38"/>
      <c r="AB10" s="39"/>
      <c r="AC10" s="147"/>
      <c r="AD10" s="101"/>
      <c r="AE10" s="41"/>
      <c r="AF10" s="42"/>
      <c r="AG10" s="42"/>
      <c r="AH10" s="42"/>
      <c r="AI10" s="42"/>
      <c r="AJ10" s="43"/>
      <c r="AK10" s="44"/>
      <c r="AL10" s="45"/>
      <c r="AM10" s="45"/>
      <c r="AN10" s="45"/>
      <c r="AO10" s="45"/>
      <c r="AP10" s="45"/>
      <c r="AQ10" s="45"/>
      <c r="AR10" s="46"/>
      <c r="AS10" s="47"/>
      <c r="AT10" s="35"/>
      <c r="AU10" s="35"/>
      <c r="AV10" s="35"/>
      <c r="AW10" s="48"/>
      <c r="AX10" s="49">
        <f t="shared" si="1"/>
        <v>0</v>
      </c>
      <c r="AY10" s="51">
        <v>0</v>
      </c>
      <c r="AZ10" s="52">
        <v>0</v>
      </c>
      <c r="BA10" s="51">
        <v>0</v>
      </c>
      <c r="BB10" s="53">
        <f t="shared" si="2"/>
        <v>0</v>
      </c>
    </row>
    <row r="11" spans="19:54" s="34" customFormat="1" ht="48" customHeight="1" thickBot="1">
      <c r="S11" s="12">
        <v>5</v>
      </c>
      <c r="T11" s="243"/>
      <c r="U11" s="35"/>
      <c r="V11" s="119"/>
      <c r="W11" s="119"/>
      <c r="X11" s="36"/>
      <c r="Y11" s="120"/>
      <c r="Z11" s="37">
        <f t="shared" si="0"/>
        <v>0</v>
      </c>
      <c r="AA11" s="38"/>
      <c r="AB11" s="39"/>
      <c r="AC11" s="147"/>
      <c r="AD11" s="101"/>
      <c r="AE11" s="41"/>
      <c r="AF11" s="42"/>
      <c r="AG11" s="42"/>
      <c r="AH11" s="42"/>
      <c r="AI11" s="42"/>
      <c r="AJ11" s="43"/>
      <c r="AK11" s="44"/>
      <c r="AL11" s="45"/>
      <c r="AM11" s="45"/>
      <c r="AN11" s="45"/>
      <c r="AO11" s="45"/>
      <c r="AP11" s="45"/>
      <c r="AQ11" s="45"/>
      <c r="AR11" s="46"/>
      <c r="AS11" s="47"/>
      <c r="AT11" s="35"/>
      <c r="AU11" s="35"/>
      <c r="AV11" s="35"/>
      <c r="AW11" s="48"/>
      <c r="AX11" s="49">
        <f t="shared" si="1"/>
        <v>0</v>
      </c>
      <c r="AY11" s="50">
        <v>0</v>
      </c>
      <c r="AZ11" s="51">
        <v>0</v>
      </c>
      <c r="BA11" s="52">
        <v>0</v>
      </c>
      <c r="BB11" s="53">
        <f t="shared" si="2"/>
        <v>0</v>
      </c>
    </row>
    <row r="12" spans="19:54" s="34" customFormat="1" ht="48" customHeight="1" thickBot="1">
      <c r="S12" s="12">
        <v>10</v>
      </c>
      <c r="T12" s="243"/>
      <c r="U12" s="13"/>
      <c r="V12" s="14"/>
      <c r="W12" s="14"/>
      <c r="X12" s="54"/>
      <c r="Y12" s="54"/>
      <c r="Z12" s="55">
        <f t="shared" si="0"/>
        <v>0</v>
      </c>
      <c r="AA12" s="19"/>
      <c r="AB12" s="20"/>
      <c r="AC12" s="21"/>
      <c r="AD12" s="100"/>
      <c r="AE12" s="22"/>
      <c r="AF12" s="23"/>
      <c r="AG12" s="23"/>
      <c r="AH12" s="23"/>
      <c r="AI12" s="23"/>
      <c r="AJ12" s="24"/>
      <c r="AK12" s="25"/>
      <c r="AL12" s="26"/>
      <c r="AM12" s="26"/>
      <c r="AN12" s="26"/>
      <c r="AO12" s="26"/>
      <c r="AP12" s="26"/>
      <c r="AQ12" s="26"/>
      <c r="AR12" s="27"/>
      <c r="AS12" s="28"/>
      <c r="AT12" s="13"/>
      <c r="AU12" s="13"/>
      <c r="AV12" s="13"/>
      <c r="AW12" s="29"/>
      <c r="AX12" s="30">
        <f t="shared" si="1"/>
        <v>0</v>
      </c>
      <c r="AY12" s="31">
        <v>0</v>
      </c>
      <c r="AZ12" s="32">
        <v>0</v>
      </c>
      <c r="BA12" s="31">
        <v>0</v>
      </c>
      <c r="BB12" s="56">
        <f t="shared" si="2"/>
        <v>0</v>
      </c>
    </row>
    <row r="13" spans="19:54" s="34" customFormat="1" ht="48" customHeight="1" thickBot="1">
      <c r="S13" s="12">
        <v>11</v>
      </c>
      <c r="T13" s="244" t="s">
        <v>65</v>
      </c>
      <c r="U13" s="35">
        <v>1342</v>
      </c>
      <c r="V13" s="119">
        <v>5</v>
      </c>
      <c r="W13" s="119">
        <v>1</v>
      </c>
      <c r="X13" s="36">
        <v>0.20208333333333331</v>
      </c>
      <c r="Y13" s="36">
        <v>0.43333333333333335</v>
      </c>
      <c r="Z13" s="37">
        <f t="shared" si="0"/>
        <v>0.23125000000000004</v>
      </c>
      <c r="AA13" s="38"/>
      <c r="AB13" s="39"/>
      <c r="AC13" s="40"/>
      <c r="AD13" s="101">
        <v>4.5833333333333337E-2</v>
      </c>
      <c r="AE13" s="41"/>
      <c r="AF13" s="42"/>
      <c r="AG13" s="42"/>
      <c r="AH13" s="42"/>
      <c r="AI13" s="42"/>
      <c r="AJ13" s="43">
        <v>3</v>
      </c>
      <c r="AK13" s="44"/>
      <c r="AL13" s="45"/>
      <c r="AM13" s="45"/>
      <c r="AN13" s="45">
        <v>1</v>
      </c>
      <c r="AO13" s="45"/>
      <c r="AP13" s="45"/>
      <c r="AQ13" s="45">
        <v>12</v>
      </c>
      <c r="AR13" s="46"/>
      <c r="AS13" s="47">
        <v>250</v>
      </c>
      <c r="AT13" s="35">
        <v>15</v>
      </c>
      <c r="AU13" s="35">
        <v>2</v>
      </c>
      <c r="AV13" s="35">
        <v>0</v>
      </c>
      <c r="AW13" s="48">
        <v>0</v>
      </c>
      <c r="AX13" s="49">
        <f t="shared" si="1"/>
        <v>25900</v>
      </c>
      <c r="AY13" s="50">
        <v>0</v>
      </c>
      <c r="AZ13" s="51">
        <v>0</v>
      </c>
      <c r="BA13" s="52">
        <v>0</v>
      </c>
      <c r="BB13" s="57">
        <f t="shared" si="2"/>
        <v>25900</v>
      </c>
    </row>
    <row r="14" spans="19:54" s="34" customFormat="1" ht="48" customHeight="1" thickBot="1">
      <c r="S14" s="12">
        <v>12</v>
      </c>
      <c r="T14" s="244"/>
      <c r="U14" s="35">
        <v>1343</v>
      </c>
      <c r="V14" s="119">
        <v>6</v>
      </c>
      <c r="W14" s="119">
        <v>1</v>
      </c>
      <c r="X14" s="36">
        <v>0.4381944444444445</v>
      </c>
      <c r="Y14" s="36">
        <v>0.60763888888888895</v>
      </c>
      <c r="Z14" s="37">
        <f t="shared" si="0"/>
        <v>0.16944444444444445</v>
      </c>
      <c r="AA14" s="38"/>
      <c r="AB14" s="39"/>
      <c r="AC14" s="40"/>
      <c r="AD14" s="101">
        <v>3.3333333333333333E-2</v>
      </c>
      <c r="AE14" s="41"/>
      <c r="AF14" s="42"/>
      <c r="AG14" s="42"/>
      <c r="AH14" s="42"/>
      <c r="AI14" s="42"/>
      <c r="AJ14" s="43">
        <v>5</v>
      </c>
      <c r="AK14" s="44"/>
      <c r="AL14" s="45"/>
      <c r="AM14" s="45"/>
      <c r="AN14" s="45"/>
      <c r="AO14" s="45"/>
      <c r="AP14" s="45"/>
      <c r="AQ14" s="45">
        <v>11</v>
      </c>
      <c r="AR14" s="46"/>
      <c r="AS14" s="47">
        <v>255</v>
      </c>
      <c r="AT14" s="35">
        <v>15</v>
      </c>
      <c r="AU14" s="35">
        <v>1</v>
      </c>
      <c r="AV14" s="35">
        <v>0</v>
      </c>
      <c r="AW14" s="48">
        <v>0</v>
      </c>
      <c r="AX14" s="49">
        <f t="shared" si="1"/>
        <v>23100</v>
      </c>
      <c r="AY14" s="51">
        <v>0</v>
      </c>
      <c r="AZ14" s="52">
        <v>0</v>
      </c>
      <c r="BA14" s="51">
        <v>0</v>
      </c>
      <c r="BB14" s="57">
        <f t="shared" si="2"/>
        <v>23100</v>
      </c>
    </row>
    <row r="15" spans="19:54" s="34" customFormat="1" ht="48" customHeight="1" thickBot="1">
      <c r="S15" s="12">
        <v>13</v>
      </c>
      <c r="T15" s="245"/>
      <c r="U15" s="58">
        <v>1344</v>
      </c>
      <c r="V15" s="59">
        <v>7</v>
      </c>
      <c r="W15" s="59">
        <v>1</v>
      </c>
      <c r="X15" s="60">
        <v>0.61388888888888882</v>
      </c>
      <c r="Y15" s="60">
        <v>0.88402777777777775</v>
      </c>
      <c r="Z15" s="61">
        <f t="shared" si="0"/>
        <v>0.27013888888888893</v>
      </c>
      <c r="AA15" s="62"/>
      <c r="AB15" s="63"/>
      <c r="AC15" s="64"/>
      <c r="AD15" s="102">
        <v>3.8194444444444441E-2</v>
      </c>
      <c r="AE15" s="65"/>
      <c r="AF15" s="66"/>
      <c r="AG15" s="67"/>
      <c r="AH15" s="67"/>
      <c r="AI15" s="67"/>
      <c r="AJ15" s="66">
        <v>5</v>
      </c>
      <c r="AK15" s="68"/>
      <c r="AL15" s="69"/>
      <c r="AM15" s="69"/>
      <c r="AN15" s="69"/>
      <c r="AO15" s="69"/>
      <c r="AP15" s="69"/>
      <c r="AQ15" s="69">
        <v>12</v>
      </c>
      <c r="AR15" s="70"/>
      <c r="AS15" s="71">
        <v>270</v>
      </c>
      <c r="AT15" s="35">
        <v>30</v>
      </c>
      <c r="AU15" s="35">
        <v>3</v>
      </c>
      <c r="AV15" s="35">
        <v>0</v>
      </c>
      <c r="AW15" s="48">
        <v>0</v>
      </c>
      <c r="AX15" s="49">
        <f t="shared" si="1"/>
        <v>25200</v>
      </c>
      <c r="AY15" s="50">
        <v>0</v>
      </c>
      <c r="AZ15" s="51">
        <v>0</v>
      </c>
      <c r="BA15" s="52">
        <v>0</v>
      </c>
      <c r="BB15" s="57">
        <f t="shared" si="2"/>
        <v>25200</v>
      </c>
    </row>
    <row r="16" spans="19:54" s="72" customFormat="1" ht="50.1" customHeight="1">
      <c r="S16" s="254" t="s">
        <v>42</v>
      </c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5" t="s">
        <v>53</v>
      </c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6" t="s">
        <v>43</v>
      </c>
      <c r="AU16" s="257"/>
      <c r="AV16" s="257"/>
      <c r="AW16" s="257"/>
      <c r="AX16" s="257"/>
      <c r="AY16" s="257"/>
      <c r="AZ16" s="257"/>
      <c r="BA16" s="257"/>
      <c r="BB16" s="258"/>
    </row>
    <row r="17" spans="18:62" s="72" customFormat="1" ht="60" customHeight="1">
      <c r="S17" s="73" t="s">
        <v>15</v>
      </c>
      <c r="T17" s="300" t="s">
        <v>44</v>
      </c>
      <c r="U17" s="301"/>
      <c r="V17" s="302" t="s">
        <v>45</v>
      </c>
      <c r="W17" s="303"/>
      <c r="X17" s="74" t="s">
        <v>46</v>
      </c>
      <c r="Y17" s="75" t="s">
        <v>67</v>
      </c>
      <c r="Z17" s="304" t="s">
        <v>47</v>
      </c>
      <c r="AA17" s="304"/>
      <c r="AB17" s="304"/>
      <c r="AC17" s="304"/>
      <c r="AD17" s="304"/>
      <c r="AE17" s="304"/>
      <c r="AF17" s="304"/>
      <c r="AG17" s="305" t="s">
        <v>48</v>
      </c>
      <c r="AH17" s="306"/>
      <c r="AI17" s="307" t="s">
        <v>49</v>
      </c>
      <c r="AJ17" s="307"/>
      <c r="AK17" s="92"/>
      <c r="AL17" s="308" t="s">
        <v>68</v>
      </c>
      <c r="AM17" s="309"/>
      <c r="AN17" s="310"/>
      <c r="AO17" s="288" t="s">
        <v>50</v>
      </c>
      <c r="AP17" s="289"/>
      <c r="AQ17" s="289"/>
      <c r="AR17" s="289"/>
      <c r="AS17" s="289"/>
      <c r="AT17" s="76" t="s">
        <v>51</v>
      </c>
      <c r="AU17" s="290" t="s">
        <v>33</v>
      </c>
      <c r="AV17" s="291"/>
      <c r="AW17" s="77" t="s">
        <v>34</v>
      </c>
      <c r="AX17" s="77" t="s">
        <v>66</v>
      </c>
      <c r="AY17" s="77" t="s">
        <v>35</v>
      </c>
      <c r="AZ17" s="77" t="s">
        <v>36</v>
      </c>
      <c r="BA17" s="292" t="s">
        <v>52</v>
      </c>
      <c r="BB17" s="293"/>
    </row>
    <row r="18" spans="18:62" ht="60.75" customHeight="1">
      <c r="S18" s="78">
        <v>1</v>
      </c>
      <c r="T18" s="294"/>
      <c r="U18" s="295"/>
      <c r="V18" s="280"/>
      <c r="W18" s="281"/>
      <c r="X18" s="79" t="str">
        <f>TEXT(MOD(V18-T18,1),"h:mm")</f>
        <v>0:00</v>
      </c>
      <c r="Y18" s="80"/>
      <c r="Z18" s="282"/>
      <c r="AA18" s="282"/>
      <c r="AB18" s="282"/>
      <c r="AC18" s="282"/>
      <c r="AD18" s="282"/>
      <c r="AE18" s="282"/>
      <c r="AF18" s="282"/>
      <c r="AG18" s="296">
        <f>SUM(AX7:AX9)</f>
        <v>0</v>
      </c>
      <c r="AH18" s="297"/>
      <c r="AI18" s="298">
        <f>SUM(AX10:AX12)</f>
        <v>0</v>
      </c>
      <c r="AJ18" s="298"/>
      <c r="AK18" s="93"/>
      <c r="AL18" s="298">
        <f>SUM(AX13:AX15)</f>
        <v>74200</v>
      </c>
      <c r="AM18" s="298"/>
      <c r="AN18" s="298"/>
      <c r="AO18" s="299">
        <f>SUM(AG18:AN18)</f>
        <v>74200</v>
      </c>
      <c r="AP18" s="299"/>
      <c r="AQ18" s="299"/>
      <c r="AR18" s="299"/>
      <c r="AS18" s="299"/>
      <c r="AT18" s="81" t="s">
        <v>1</v>
      </c>
      <c r="AU18" s="276">
        <f>SUM(AS7:AS9)</f>
        <v>0</v>
      </c>
      <c r="AV18" s="277"/>
      <c r="AW18" s="82">
        <f>SUM(AT7:AT9)</f>
        <v>0</v>
      </c>
      <c r="AX18" s="82">
        <f>SUM(AV7:AV9)</f>
        <v>0</v>
      </c>
      <c r="AY18" s="82">
        <f>SUM(AU7:AU9)</f>
        <v>0</v>
      </c>
      <c r="AZ18" s="82">
        <f>SUM(AW7:AW9)</f>
        <v>0</v>
      </c>
      <c r="BA18" s="276">
        <f>SUM(AU18:AZ18)</f>
        <v>0</v>
      </c>
      <c r="BB18" s="277"/>
    </row>
    <row r="19" spans="18:62" ht="60.75" customHeight="1">
      <c r="S19" s="78">
        <v>2</v>
      </c>
      <c r="T19" s="278"/>
      <c r="U19" s="279"/>
      <c r="V19" s="280"/>
      <c r="W19" s="281"/>
      <c r="X19" s="79" t="str">
        <f>TEXT(MOD(V19-T19,1),"h:mm")</f>
        <v>0:00</v>
      </c>
      <c r="Y19" s="80"/>
      <c r="Z19" s="282"/>
      <c r="AA19" s="282"/>
      <c r="AB19" s="282"/>
      <c r="AC19" s="282"/>
      <c r="AD19" s="282"/>
      <c r="AE19" s="282"/>
      <c r="AF19" s="282"/>
      <c r="AG19" s="283" t="s">
        <v>41</v>
      </c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5"/>
      <c r="AT19" s="83" t="s">
        <v>5</v>
      </c>
      <c r="AU19" s="286">
        <f>SUM(AS10:AS12)</f>
        <v>0</v>
      </c>
      <c r="AV19" s="287"/>
      <c r="AW19" s="84">
        <f>SUM(AT10:AT12)</f>
        <v>0</v>
      </c>
      <c r="AX19" s="84">
        <f>SUM(AV10:AV12)</f>
        <v>0</v>
      </c>
      <c r="AY19" s="84">
        <f>SUM(AU10:AU12)</f>
        <v>0</v>
      </c>
      <c r="AZ19" s="84">
        <f>SUM(AW10:AW12)</f>
        <v>0</v>
      </c>
      <c r="BA19" s="286">
        <f>SUM(AU19:AZ19)</f>
        <v>0</v>
      </c>
      <c r="BB19" s="287"/>
    </row>
    <row r="20" spans="18:62" ht="60.75" customHeight="1">
      <c r="S20" s="78">
        <v>3</v>
      </c>
      <c r="T20" s="278"/>
      <c r="U20" s="279"/>
      <c r="V20" s="280"/>
      <c r="W20" s="281"/>
      <c r="X20" s="79" t="str">
        <f>TEXT(MOD(V20-T20,1),"h:mm")</f>
        <v>0:00</v>
      </c>
      <c r="Y20" s="80"/>
      <c r="Z20" s="327"/>
      <c r="AA20" s="327"/>
      <c r="AB20" s="327"/>
      <c r="AC20" s="327"/>
      <c r="AD20" s="327"/>
      <c r="AE20" s="327"/>
      <c r="AF20" s="327"/>
      <c r="AG20" s="311">
        <f>SUM(BB7:BB9)</f>
        <v>0</v>
      </c>
      <c r="AH20" s="328"/>
      <c r="AI20" s="311">
        <f>SUM(BB10:BB12)</f>
        <v>0</v>
      </c>
      <c r="AJ20" s="328"/>
      <c r="AK20" s="94"/>
      <c r="AL20" s="311">
        <f>SUM(BB13:BB15)</f>
        <v>74200</v>
      </c>
      <c r="AM20" s="329"/>
      <c r="AN20" s="328"/>
      <c r="AO20" s="311">
        <f>SUM(AG20:AN20)</f>
        <v>74200</v>
      </c>
      <c r="AP20" s="312"/>
      <c r="AQ20" s="312"/>
      <c r="AR20" s="312"/>
      <c r="AS20" s="313"/>
      <c r="AT20" s="91" t="s">
        <v>65</v>
      </c>
      <c r="AU20" s="314">
        <f>SUM(AS13:AS15)</f>
        <v>775</v>
      </c>
      <c r="AV20" s="315"/>
      <c r="AW20" s="99">
        <f>SUM(AT13:AT15)</f>
        <v>60</v>
      </c>
      <c r="AX20" s="99">
        <f>SUM(AV13:AV15)</f>
        <v>0</v>
      </c>
      <c r="AY20" s="99">
        <f>SUM(AU13:AU15)</f>
        <v>6</v>
      </c>
      <c r="AZ20" s="99">
        <f>SUM(AW13:AW15)</f>
        <v>0</v>
      </c>
      <c r="BA20" s="316">
        <f>SUM(AU20:AZ20)</f>
        <v>841</v>
      </c>
      <c r="BB20" s="317"/>
    </row>
    <row r="21" spans="18:62" ht="60.75" customHeight="1">
      <c r="S21" s="78">
        <v>4</v>
      </c>
      <c r="T21" s="278"/>
      <c r="U21" s="279"/>
      <c r="V21" s="280"/>
      <c r="W21" s="281"/>
      <c r="X21" s="79" t="str">
        <f>TEXT(MOD(V21-T21,1),"h:mm")</f>
        <v>0:00</v>
      </c>
      <c r="Y21" s="80"/>
      <c r="Z21" s="318"/>
      <c r="AA21" s="318"/>
      <c r="AB21" s="318"/>
      <c r="AC21" s="318"/>
      <c r="AD21" s="318"/>
      <c r="AE21" s="318"/>
      <c r="AF21" s="318"/>
      <c r="AG21" s="319" t="s">
        <v>54</v>
      </c>
      <c r="AH21" s="320"/>
      <c r="AI21" s="320"/>
      <c r="AJ21" s="320"/>
      <c r="AK21" s="320"/>
      <c r="AL21" s="320"/>
      <c r="AM21" s="320"/>
      <c r="AN21" s="320"/>
      <c r="AO21" s="320"/>
      <c r="AP21" s="320"/>
      <c r="AQ21" s="320"/>
      <c r="AR21" s="320"/>
      <c r="AS21" s="321"/>
      <c r="AT21" s="322" t="s">
        <v>55</v>
      </c>
      <c r="AU21" s="323"/>
      <c r="AV21" s="324"/>
      <c r="AW21" s="325">
        <v>1680</v>
      </c>
      <c r="AX21" s="326"/>
      <c r="AY21" s="322" t="s">
        <v>56</v>
      </c>
      <c r="AZ21" s="324"/>
      <c r="BA21" s="330">
        <v>1628</v>
      </c>
      <c r="BB21" s="331"/>
    </row>
    <row r="22" spans="18:62" ht="54" customHeight="1">
      <c r="S22" s="78">
        <v>5</v>
      </c>
      <c r="T22" s="278"/>
      <c r="U22" s="279"/>
      <c r="V22" s="280"/>
      <c r="W22" s="281"/>
      <c r="X22" s="79" t="str">
        <f>TEXT(MOD(V22-T22,1),"h:mm")</f>
        <v>0:00</v>
      </c>
      <c r="Y22" s="80"/>
      <c r="Z22" s="318"/>
      <c r="AA22" s="318"/>
      <c r="AB22" s="318"/>
      <c r="AC22" s="318"/>
      <c r="AD22" s="318"/>
      <c r="AE22" s="318"/>
      <c r="AF22" s="318"/>
      <c r="AG22" s="357">
        <f>SUM(AY7:BA9)</f>
        <v>0</v>
      </c>
      <c r="AH22" s="357"/>
      <c r="AI22" s="298">
        <f>SUM(AY10:BA12)</f>
        <v>0</v>
      </c>
      <c r="AJ22" s="298"/>
      <c r="AK22" s="95"/>
      <c r="AL22" s="358">
        <f>SUM(AY13:BA15)</f>
        <v>0</v>
      </c>
      <c r="AM22" s="358"/>
      <c r="AN22" s="359"/>
      <c r="AO22" s="360">
        <f>SUM(AG22:AN22)</f>
        <v>0</v>
      </c>
      <c r="AP22" s="361"/>
      <c r="AQ22" s="361"/>
      <c r="AR22" s="361"/>
      <c r="AS22" s="362"/>
      <c r="AT22" s="98" t="s">
        <v>69</v>
      </c>
      <c r="AU22" s="363" t="s">
        <v>48</v>
      </c>
      <c r="AV22" s="364"/>
      <c r="AW22" s="365" t="s">
        <v>49</v>
      </c>
      <c r="AX22" s="366"/>
      <c r="AY22" s="332" t="s">
        <v>68</v>
      </c>
      <c r="AZ22" s="333"/>
      <c r="BA22" s="334" t="s">
        <v>57</v>
      </c>
      <c r="BB22" s="335"/>
    </row>
    <row r="23" spans="18:62" ht="59.25" customHeight="1">
      <c r="S23" s="336" t="s">
        <v>61</v>
      </c>
      <c r="T23" s="337"/>
      <c r="U23" s="337"/>
      <c r="V23" s="337"/>
      <c r="W23" s="338"/>
      <c r="X23" s="85">
        <f>SUM(X18+X19+X20+X21+X22)</f>
        <v>0</v>
      </c>
      <c r="Y23" s="118" t="s">
        <v>62</v>
      </c>
      <c r="Z23" s="86"/>
      <c r="AA23" s="87"/>
      <c r="AB23" s="87"/>
      <c r="AC23" s="339" t="s">
        <v>63</v>
      </c>
      <c r="AD23" s="339"/>
      <c r="AE23" s="340"/>
      <c r="AF23" s="341"/>
      <c r="AG23" s="342" t="s">
        <v>22</v>
      </c>
      <c r="AH23" s="343"/>
      <c r="AI23" s="344"/>
      <c r="AJ23" s="345" t="s">
        <v>48</v>
      </c>
      <c r="AK23" s="346"/>
      <c r="AL23" s="346"/>
      <c r="AM23" s="347"/>
      <c r="AN23" s="348" t="s">
        <v>49</v>
      </c>
      <c r="AO23" s="348"/>
      <c r="AP23" s="348"/>
      <c r="AQ23" s="349" t="s">
        <v>68</v>
      </c>
      <c r="AR23" s="350"/>
      <c r="AS23" s="351"/>
      <c r="AT23" s="96" t="s">
        <v>60</v>
      </c>
      <c r="AU23" s="352">
        <f>SUM(AQ7:AQ9)</f>
        <v>0</v>
      </c>
      <c r="AV23" s="353"/>
      <c r="AW23" s="352">
        <f>SUM(AQ10:AQ12)</f>
        <v>0</v>
      </c>
      <c r="AX23" s="354"/>
      <c r="AY23" s="352">
        <f>SUM(AQ13:AQ15)</f>
        <v>35</v>
      </c>
      <c r="AZ23" s="353"/>
      <c r="BA23" s="355">
        <f>SUM(AU23:AZ23)</f>
        <v>35</v>
      </c>
      <c r="BB23" s="356"/>
    </row>
    <row r="24" spans="18:62" ht="57" customHeight="1">
      <c r="S24" s="367"/>
      <c r="T24" s="368"/>
      <c r="U24" s="368"/>
      <c r="V24" s="368"/>
      <c r="W24" s="369"/>
      <c r="X24" s="373" t="s">
        <v>73</v>
      </c>
      <c r="Y24" s="104" t="s">
        <v>70</v>
      </c>
      <c r="Z24" s="105" t="s">
        <v>71</v>
      </c>
      <c r="AA24" s="103"/>
      <c r="AB24" s="103"/>
      <c r="AC24" s="375" t="s">
        <v>72</v>
      </c>
      <c r="AD24" s="376"/>
      <c r="AE24" s="377" t="s">
        <v>57</v>
      </c>
      <c r="AF24" s="378"/>
      <c r="AG24" s="379" t="s">
        <v>58</v>
      </c>
      <c r="AH24" s="380"/>
      <c r="AI24" s="381"/>
      <c r="AJ24" s="382">
        <f>AVERAGE(Z7:Z9)</f>
        <v>0</v>
      </c>
      <c r="AK24" s="383"/>
      <c r="AL24" s="383"/>
      <c r="AM24" s="383"/>
      <c r="AN24" s="382">
        <f>AVERAGE(Z10:Z12)</f>
        <v>0</v>
      </c>
      <c r="AO24" s="383"/>
      <c r="AP24" s="383"/>
      <c r="AQ24" s="382">
        <f>AVERAGE(Z13:Z15)</f>
        <v>0.22361111111111112</v>
      </c>
      <c r="AR24" s="383"/>
      <c r="AS24" s="383"/>
      <c r="AT24" s="97" t="s">
        <v>64</v>
      </c>
      <c r="AU24" s="387">
        <f>SUM(AL7:AP9)</f>
        <v>0</v>
      </c>
      <c r="AV24" s="388"/>
      <c r="AW24" s="387">
        <f>SUM(AL10:AP12)</f>
        <v>0</v>
      </c>
      <c r="AX24" s="388"/>
      <c r="AY24" s="387">
        <f>SUM(AL13:AP15)</f>
        <v>1</v>
      </c>
      <c r="AZ24" s="388"/>
      <c r="BA24" s="389">
        <f>SUM(AU24:AZ24)</f>
        <v>1</v>
      </c>
      <c r="BB24" s="390"/>
    </row>
    <row r="25" spans="18:62" ht="52.5" customHeight="1">
      <c r="S25" s="370"/>
      <c r="T25" s="371"/>
      <c r="U25" s="371"/>
      <c r="V25" s="371"/>
      <c r="W25" s="372"/>
      <c r="X25" s="374"/>
      <c r="Y25" s="106">
        <f>SUM(AD7:AD9)</f>
        <v>0</v>
      </c>
      <c r="Z25" s="106">
        <f>SUM(AD10:AD12)</f>
        <v>0</v>
      </c>
      <c r="AA25" s="107"/>
      <c r="AB25" s="107"/>
      <c r="AC25" s="391">
        <f>SUM(AD13:AD14)</f>
        <v>7.9166666666666663E-2</v>
      </c>
      <c r="AD25" s="392"/>
      <c r="AE25" s="393">
        <f>SUM(Y25:AD25)</f>
        <v>7.9166666666666663E-2</v>
      </c>
      <c r="AF25" s="394"/>
      <c r="AG25" s="379" t="s">
        <v>59</v>
      </c>
      <c r="AH25" s="380"/>
      <c r="AI25" s="381"/>
      <c r="AJ25" s="382">
        <f>SUM(Z7:Z9)</f>
        <v>0</v>
      </c>
      <c r="AK25" s="383"/>
      <c r="AL25" s="383"/>
      <c r="AM25" s="383"/>
      <c r="AN25" s="382">
        <f>SUM(Z10:Z12)</f>
        <v>0</v>
      </c>
      <c r="AO25" s="383"/>
      <c r="AP25" s="383"/>
      <c r="AQ25" s="382">
        <f>SUM(Z13:Z15)</f>
        <v>0.67083333333333339</v>
      </c>
      <c r="AR25" s="383"/>
      <c r="AS25" s="383"/>
      <c r="AT25" s="384"/>
      <c r="AU25" s="385"/>
      <c r="AV25" s="385"/>
      <c r="AW25" s="385"/>
      <c r="AX25" s="385"/>
      <c r="AY25" s="385"/>
      <c r="AZ25" s="385"/>
      <c r="BA25" s="385"/>
      <c r="BB25" s="386"/>
    </row>
    <row r="26" spans="18:62" ht="60.75" customHeight="1"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8:62" ht="30" customHeight="1"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8:62" ht="30" customHeight="1"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T28" s="4"/>
      <c r="AU28" s="4"/>
      <c r="AV28" s="4"/>
      <c r="AW28" s="4"/>
      <c r="AX28" s="4"/>
      <c r="AY28" s="4"/>
      <c r="AZ28" s="4"/>
      <c r="BA28" s="4"/>
    </row>
    <row r="29" spans="18:62" ht="30" customHeight="1"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T29" s="4"/>
      <c r="AU29" s="4"/>
      <c r="AV29" s="4"/>
      <c r="AW29" s="4"/>
      <c r="AX29" s="4"/>
      <c r="AY29" s="4"/>
      <c r="AZ29" s="4"/>
      <c r="BA29" s="4"/>
    </row>
    <row r="30" spans="18:62" ht="30" customHeight="1">
      <c r="R30" s="3"/>
      <c r="S30" s="3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T30" s="4"/>
      <c r="AU30" s="4"/>
      <c r="AV30" s="4"/>
      <c r="AW30" s="4"/>
      <c r="AX30" s="4"/>
      <c r="AY30" s="4"/>
      <c r="AZ30" s="4"/>
      <c r="BA30" s="4"/>
    </row>
    <row r="31" spans="18:62" ht="30" customHeight="1">
      <c r="R31" s="3"/>
      <c r="S31" s="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T31" s="4"/>
      <c r="AU31" s="4"/>
      <c r="AV31" s="4"/>
      <c r="AW31" s="4"/>
      <c r="AX31" s="4"/>
      <c r="AY31" s="4"/>
      <c r="AZ31" s="4"/>
      <c r="BA31" s="4"/>
    </row>
    <row r="32" spans="18:62" ht="15" customHeight="1">
      <c r="S32" s="3"/>
      <c r="BJ32" s="4">
        <v>8</v>
      </c>
    </row>
  </sheetData>
  <mergeCells count="145">
    <mergeCell ref="S24:W25"/>
    <mergeCell ref="X24:X25"/>
    <mergeCell ref="AC24:AD24"/>
    <mergeCell ref="AE24:AF24"/>
    <mergeCell ref="AG24:AI24"/>
    <mergeCell ref="AJ24:AM24"/>
    <mergeCell ref="AN24:AP24"/>
    <mergeCell ref="AQ25:AS25"/>
    <mergeCell ref="AT25:BB25"/>
    <mergeCell ref="AQ24:AS24"/>
    <mergeCell ref="AU24:AV24"/>
    <mergeCell ref="AW24:AX24"/>
    <mergeCell ref="AY24:AZ24"/>
    <mergeCell ref="BA24:BB24"/>
    <mergeCell ref="AC25:AD25"/>
    <mergeCell ref="AE25:AF25"/>
    <mergeCell ref="AG25:AI25"/>
    <mergeCell ref="AJ25:AM25"/>
    <mergeCell ref="AN25:AP25"/>
    <mergeCell ref="AY22:AZ22"/>
    <mergeCell ref="BA22:BB22"/>
    <mergeCell ref="S23:W23"/>
    <mergeCell ref="AC23:AD23"/>
    <mergeCell ref="AE23:AF23"/>
    <mergeCell ref="AG23:AI23"/>
    <mergeCell ref="AJ23:AM23"/>
    <mergeCell ref="AN23:AP23"/>
    <mergeCell ref="AQ23:AS23"/>
    <mergeCell ref="AU23:AV23"/>
    <mergeCell ref="AW23:AX23"/>
    <mergeCell ref="AY23:AZ23"/>
    <mergeCell ref="BA23:BB23"/>
    <mergeCell ref="T22:U22"/>
    <mergeCell ref="V22:W22"/>
    <mergeCell ref="Z22:AF22"/>
    <mergeCell ref="AG22:AH22"/>
    <mergeCell ref="AI22:AJ22"/>
    <mergeCell ref="AL22:AN22"/>
    <mergeCell ref="AO22:AS22"/>
    <mergeCell ref="AU22:AV22"/>
    <mergeCell ref="AW22:AX22"/>
    <mergeCell ref="AO20:AS20"/>
    <mergeCell ref="AU20:AV20"/>
    <mergeCell ref="BA20:BB20"/>
    <mergeCell ref="T21:U21"/>
    <mergeCell ref="V21:W21"/>
    <mergeCell ref="Z21:AF21"/>
    <mergeCell ref="AG21:AS21"/>
    <mergeCell ref="AT21:AV21"/>
    <mergeCell ref="AW21:AX21"/>
    <mergeCell ref="AY21:AZ21"/>
    <mergeCell ref="T20:U20"/>
    <mergeCell ref="V20:W20"/>
    <mergeCell ref="Z20:AF20"/>
    <mergeCell ref="AG20:AH20"/>
    <mergeCell ref="AI20:AJ20"/>
    <mergeCell ref="AL20:AN20"/>
    <mergeCell ref="BA21:BB21"/>
    <mergeCell ref="AU18:AV18"/>
    <mergeCell ref="BA18:BB18"/>
    <mergeCell ref="T19:U19"/>
    <mergeCell ref="V19:W19"/>
    <mergeCell ref="Z19:AF19"/>
    <mergeCell ref="AG19:AS19"/>
    <mergeCell ref="AU19:AV19"/>
    <mergeCell ref="BA19:BB19"/>
    <mergeCell ref="AO17:AS17"/>
    <mergeCell ref="AU17:AV17"/>
    <mergeCell ref="BA17:BB17"/>
    <mergeCell ref="T18:U18"/>
    <mergeCell ref="V18:W18"/>
    <mergeCell ref="Z18:AF18"/>
    <mergeCell ref="AG18:AH18"/>
    <mergeCell ref="AI18:AJ18"/>
    <mergeCell ref="AL18:AN18"/>
    <mergeCell ref="AO18:AS18"/>
    <mergeCell ref="T17:U17"/>
    <mergeCell ref="V17:W17"/>
    <mergeCell ref="Z17:AF17"/>
    <mergeCell ref="AG17:AH17"/>
    <mergeCell ref="AI17:AJ17"/>
    <mergeCell ref="AL17:AN17"/>
    <mergeCell ref="S16:AF16"/>
    <mergeCell ref="AG16:AS16"/>
    <mergeCell ref="AT16:BB16"/>
    <mergeCell ref="AU5:AU6"/>
    <mergeCell ref="AV5:AV6"/>
    <mergeCell ref="AW5:AW6"/>
    <mergeCell ref="AX5:AX6"/>
    <mergeCell ref="AY5:AY6"/>
    <mergeCell ref="AZ5:AZ6"/>
    <mergeCell ref="AH5:AH6"/>
    <mergeCell ref="AI5:AI6"/>
    <mergeCell ref="AJ5:AJ6"/>
    <mergeCell ref="AK5:AR5"/>
    <mergeCell ref="AS5:AS6"/>
    <mergeCell ref="AT5:AT6"/>
    <mergeCell ref="AB5:AB6"/>
    <mergeCell ref="AC5:AC6"/>
    <mergeCell ref="AD5:AD6"/>
    <mergeCell ref="AE5:AE6"/>
    <mergeCell ref="S4:Z4"/>
    <mergeCell ref="AA4:AB4"/>
    <mergeCell ref="AC4:AD4"/>
    <mergeCell ref="AE4:AJ4"/>
    <mergeCell ref="AL4:AQ4"/>
    <mergeCell ref="AS4:AW4"/>
    <mergeCell ref="T7:T9"/>
    <mergeCell ref="T10:T12"/>
    <mergeCell ref="T13:T15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Q1:AT1"/>
    <mergeCell ref="AU1:AW1"/>
    <mergeCell ref="AF5:AF6"/>
    <mergeCell ref="AG5:AG6"/>
    <mergeCell ref="AX1:BB3"/>
    <mergeCell ref="AC2:AE2"/>
    <mergeCell ref="AF2:AH2"/>
    <mergeCell ref="AI2:AL2"/>
    <mergeCell ref="AM2:AP2"/>
    <mergeCell ref="AQ2:AT2"/>
    <mergeCell ref="AU2:AW2"/>
    <mergeCell ref="AC3:AE3"/>
    <mergeCell ref="AQ3:AT3"/>
    <mergeCell ref="AU3:AW3"/>
    <mergeCell ref="AX4:BB4"/>
    <mergeCell ref="BA5:BA6"/>
    <mergeCell ref="BB5:BB6"/>
    <mergeCell ref="S1:W3"/>
    <mergeCell ref="X1:Y3"/>
    <mergeCell ref="AC1:AE1"/>
    <mergeCell ref="AF1:AH1"/>
    <mergeCell ref="AI1:AL1"/>
    <mergeCell ref="AM1:AP1"/>
    <mergeCell ref="AF3:AH3"/>
    <mergeCell ref="AI3:AL3"/>
    <mergeCell ref="AM3:AP3"/>
  </mergeCells>
  <conditionalFormatting sqref="Z7:Z15">
    <cfRule type="cellIs" dxfId="25" priority="3" operator="greaterThan">
      <formula>0.167361111111111</formula>
    </cfRule>
    <cfRule type="cellIs" dxfId="24" priority="4" operator="greaterThan">
      <formula>0.15625</formula>
    </cfRule>
  </conditionalFormatting>
  <conditionalFormatting sqref="AA7:AJ15">
    <cfRule type="cellIs" dxfId="23" priority="11" operator="between">
      <formula>1700</formula>
      <formula>1710</formula>
    </cfRule>
    <cfRule type="cellIs" dxfId="22" priority="12" operator="between">
      <formula>1691</formula>
      <formula>1700</formula>
    </cfRule>
  </conditionalFormatting>
  <conditionalFormatting sqref="AS7:AS15">
    <cfRule type="expression" dxfId="21" priority="13">
      <formula>IF(($AS7/$AX7)*1000&gt;$AY$1,1,0)</formula>
    </cfRule>
  </conditionalFormatting>
  <conditionalFormatting sqref="AT7:AW15">
    <cfRule type="cellIs" dxfId="20" priority="5" operator="greaterThan">
      <formula>10</formula>
    </cfRule>
  </conditionalFormatting>
  <conditionalFormatting sqref="AX7:AX15">
    <cfRule type="cellIs" dxfId="19" priority="2" operator="between">
      <formula>16000</formula>
      <formula>17200</formula>
    </cfRule>
    <cfRule type="cellIs" dxfId="18" priority="6" operator="lessThan">
      <formula>15800</formula>
    </cfRule>
    <cfRule type="cellIs" dxfId="17" priority="7" operator="greaterThan">
      <formula>18000</formula>
    </cfRule>
  </conditionalFormatting>
  <conditionalFormatting sqref="AZ7:BA15">
    <cfRule type="cellIs" dxfId="16" priority="10" operator="greaterThan">
      <formula>0</formula>
    </cfRule>
  </conditionalFormatting>
  <conditionalFormatting sqref="BB7:BB15">
    <cfRule type="cellIs" dxfId="15" priority="1" operator="between">
      <formula>16000</formula>
      <formula>17200</formula>
    </cfRule>
    <cfRule type="cellIs" dxfId="14" priority="8" operator="greaterThan">
      <formula>18000</formula>
    </cfRule>
    <cfRule type="cellIs" dxfId="13" priority="9" operator="lessThan">
      <formula>15800</formula>
    </cfRule>
  </conditionalFormatting>
  <printOptions horizontalCentered="1" verticalCentered="1"/>
  <pageMargins left="0" right="0" top="0" bottom="0.21" header="0" footer="0"/>
  <pageSetup paperSize="9" scale="42" orientation="landscape" cellComments="asDisplayed" r:id="rId1"/>
  <headerFooter differentFirst="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4694-F253-474F-BCF8-B69989F03F74}">
  <sheetPr>
    <tabColor theme="5"/>
    <pageSetUpPr fitToPage="1"/>
  </sheetPr>
  <dimension ref="R1:BJ32"/>
  <sheetViews>
    <sheetView showGridLines="0" rightToLeft="1" topLeftCell="W14" zoomScale="55" zoomScaleNormal="55" zoomScalePageLayoutView="40" workbookViewId="0">
      <selection activeCell="AC10" sqref="AC10"/>
    </sheetView>
  </sheetViews>
  <sheetFormatPr defaultColWidth="9.140625" defaultRowHeight="15"/>
  <cols>
    <col min="1" max="18" width="9.140625" style="4"/>
    <col min="19" max="19" width="5.7109375" style="4" customWidth="1"/>
    <col min="20" max="20" width="9.5703125" style="3" customWidth="1"/>
    <col min="21" max="21" width="10.7109375" style="3" customWidth="1"/>
    <col min="22" max="22" width="9.42578125" style="88" customWidth="1"/>
    <col min="23" max="23" width="8.85546875" style="88" customWidth="1"/>
    <col min="24" max="24" width="14.42578125" style="3" customWidth="1"/>
    <col min="25" max="25" width="14.7109375" style="3" customWidth="1"/>
    <col min="26" max="26" width="15.140625" style="88" customWidth="1"/>
    <col min="27" max="27" width="9.5703125" style="3" hidden="1" customWidth="1"/>
    <col min="28" max="28" width="10" style="3" hidden="1" customWidth="1"/>
    <col min="29" max="29" width="8.140625" style="3" customWidth="1"/>
    <col min="30" max="30" width="8.5703125" style="3" customWidth="1"/>
    <col min="31" max="31" width="12.42578125" style="3" customWidth="1"/>
    <col min="32" max="32" width="10.5703125" style="3" customWidth="1"/>
    <col min="33" max="33" width="9.5703125" style="3" customWidth="1"/>
    <col min="34" max="34" width="11.42578125" style="3" customWidth="1"/>
    <col min="35" max="35" width="9.42578125" style="3" customWidth="1"/>
    <col min="36" max="36" width="9.28515625" style="3" customWidth="1"/>
    <col min="37" max="37" width="6.7109375" style="3" hidden="1" customWidth="1"/>
    <col min="38" max="42" width="6.7109375" style="3" customWidth="1"/>
    <col min="43" max="43" width="8.140625" style="3" customWidth="1"/>
    <col min="44" max="44" width="6.7109375" style="3" hidden="1" customWidth="1"/>
    <col min="45" max="45" width="10.42578125" style="3" customWidth="1"/>
    <col min="46" max="46" width="8.7109375" style="3" customWidth="1"/>
    <col min="47" max="47" width="8.5703125" style="3" customWidth="1"/>
    <col min="48" max="48" width="8.7109375" style="3" customWidth="1"/>
    <col min="49" max="49" width="9.5703125" style="3" customWidth="1"/>
    <col min="50" max="50" width="12.42578125" style="88" customWidth="1"/>
    <col min="51" max="51" width="11.85546875" style="3" customWidth="1"/>
    <col min="52" max="52" width="11.5703125" style="3" customWidth="1"/>
    <col min="53" max="53" width="13.42578125" style="3" customWidth="1"/>
    <col min="54" max="54" width="13.5703125" style="4" customWidth="1"/>
    <col min="55" max="57" width="9.140625" style="4"/>
    <col min="58" max="58" width="25" style="4" customWidth="1"/>
    <col min="59" max="61" width="9.140625" style="4"/>
    <col min="62" max="62" width="23.5703125" style="4" customWidth="1"/>
    <col min="63" max="16384" width="9.140625" style="4"/>
  </cols>
  <sheetData>
    <row r="1" spans="19:54" ht="36.75" customHeight="1" thickBot="1">
      <c r="S1" s="180"/>
      <c r="T1" s="181"/>
      <c r="U1" s="181"/>
      <c r="V1" s="181"/>
      <c r="W1" s="181"/>
      <c r="X1" s="182" t="s">
        <v>0</v>
      </c>
      <c r="Y1" s="183"/>
      <c r="Z1" s="1" t="s">
        <v>1</v>
      </c>
      <c r="AA1" s="2"/>
      <c r="AC1" s="188" t="s">
        <v>2</v>
      </c>
      <c r="AD1" s="189"/>
      <c r="AE1" s="189"/>
      <c r="AF1" s="190" t="s">
        <v>75</v>
      </c>
      <c r="AG1" s="191"/>
      <c r="AH1" s="192"/>
      <c r="AI1" s="193" t="s">
        <v>3</v>
      </c>
      <c r="AJ1" s="194"/>
      <c r="AK1" s="194"/>
      <c r="AL1" s="195"/>
      <c r="AM1" s="196" t="s">
        <v>76</v>
      </c>
      <c r="AN1" s="197"/>
      <c r="AO1" s="197"/>
      <c r="AP1" s="198"/>
      <c r="AQ1" s="203" t="s">
        <v>4</v>
      </c>
      <c r="AR1" s="204"/>
      <c r="AS1" s="204"/>
      <c r="AT1" s="205"/>
      <c r="AU1" s="206" t="s">
        <v>74</v>
      </c>
      <c r="AV1" s="207"/>
      <c r="AW1" s="208"/>
      <c r="AX1" s="211" t="s">
        <v>124</v>
      </c>
      <c r="AY1" s="211"/>
      <c r="AZ1" s="211"/>
      <c r="BA1" s="211"/>
      <c r="BB1" s="211"/>
    </row>
    <row r="2" spans="19:54" ht="36.75" customHeight="1" thickBot="1">
      <c r="S2" s="180"/>
      <c r="T2" s="181"/>
      <c r="U2" s="181"/>
      <c r="V2" s="181"/>
      <c r="W2" s="181"/>
      <c r="X2" s="184"/>
      <c r="Y2" s="185"/>
      <c r="Z2" s="5" t="s">
        <v>5</v>
      </c>
      <c r="AA2" s="89"/>
      <c r="AC2" s="188" t="s">
        <v>2</v>
      </c>
      <c r="AD2" s="189"/>
      <c r="AE2" s="212"/>
      <c r="AF2" s="190" t="s">
        <v>78</v>
      </c>
      <c r="AG2" s="191"/>
      <c r="AH2" s="192"/>
      <c r="AI2" s="193" t="s">
        <v>3</v>
      </c>
      <c r="AJ2" s="194"/>
      <c r="AK2" s="194"/>
      <c r="AL2" s="195"/>
      <c r="AM2" s="202" t="s">
        <v>79</v>
      </c>
      <c r="AN2" s="202"/>
      <c r="AO2" s="202"/>
      <c r="AP2" s="202"/>
      <c r="AQ2" s="203" t="s">
        <v>4</v>
      </c>
      <c r="AR2" s="204"/>
      <c r="AS2" s="204"/>
      <c r="AT2" s="205"/>
      <c r="AU2" s="213" t="s">
        <v>77</v>
      </c>
      <c r="AV2" s="213"/>
      <c r="AW2" s="213"/>
      <c r="AX2" s="211"/>
      <c r="AY2" s="211"/>
      <c r="AZ2" s="211"/>
      <c r="BA2" s="211"/>
      <c r="BB2" s="211"/>
    </row>
    <row r="3" spans="19:54" ht="38.25" customHeight="1" thickBot="1">
      <c r="S3" s="181"/>
      <c r="T3" s="181"/>
      <c r="U3" s="181"/>
      <c r="V3" s="181"/>
      <c r="W3" s="181"/>
      <c r="X3" s="186"/>
      <c r="Y3" s="187"/>
      <c r="Z3" s="90" t="s">
        <v>65</v>
      </c>
      <c r="AA3" s="6"/>
      <c r="AC3" s="188" t="s">
        <v>6</v>
      </c>
      <c r="AD3" s="189"/>
      <c r="AE3" s="212"/>
      <c r="AF3" s="190" t="s">
        <v>81</v>
      </c>
      <c r="AG3" s="191"/>
      <c r="AH3" s="192"/>
      <c r="AI3" s="199" t="s">
        <v>7</v>
      </c>
      <c r="AJ3" s="200"/>
      <c r="AK3" s="200"/>
      <c r="AL3" s="201"/>
      <c r="AM3" s="202" t="s">
        <v>82</v>
      </c>
      <c r="AN3" s="202"/>
      <c r="AO3" s="202"/>
      <c r="AP3" s="202"/>
      <c r="AQ3" s="203" t="s">
        <v>4</v>
      </c>
      <c r="AR3" s="204"/>
      <c r="AS3" s="204"/>
      <c r="AT3" s="214"/>
      <c r="AU3" s="215" t="s">
        <v>80</v>
      </c>
      <c r="AV3" s="216"/>
      <c r="AW3" s="217"/>
      <c r="AX3" s="211"/>
      <c r="AY3" s="211"/>
      <c r="AZ3" s="211"/>
      <c r="BA3" s="211"/>
      <c r="BB3" s="211"/>
    </row>
    <row r="4" spans="19:54" ht="34.5" customHeight="1" thickBot="1">
      <c r="S4" s="225" t="s">
        <v>8</v>
      </c>
      <c r="T4" s="226"/>
      <c r="U4" s="226"/>
      <c r="V4" s="226"/>
      <c r="W4" s="226"/>
      <c r="X4" s="227"/>
      <c r="Y4" s="227"/>
      <c r="Z4" s="228"/>
      <c r="AA4" s="229" t="s">
        <v>9</v>
      </c>
      <c r="AB4" s="230"/>
      <c r="AC4" s="231" t="s">
        <v>10</v>
      </c>
      <c r="AD4" s="232"/>
      <c r="AE4" s="233" t="s">
        <v>11</v>
      </c>
      <c r="AF4" s="234"/>
      <c r="AG4" s="234"/>
      <c r="AH4" s="234"/>
      <c r="AI4" s="234"/>
      <c r="AJ4" s="235"/>
      <c r="AK4" s="7"/>
      <c r="AL4" s="236" t="s">
        <v>12</v>
      </c>
      <c r="AM4" s="237"/>
      <c r="AN4" s="237"/>
      <c r="AO4" s="237"/>
      <c r="AP4" s="237"/>
      <c r="AQ4" s="237"/>
      <c r="AR4" s="8"/>
      <c r="AS4" s="238" t="s">
        <v>13</v>
      </c>
      <c r="AT4" s="239"/>
      <c r="AU4" s="239"/>
      <c r="AV4" s="239"/>
      <c r="AW4" s="240"/>
      <c r="AX4" s="218" t="s">
        <v>93</v>
      </c>
      <c r="AY4" s="219"/>
      <c r="AZ4" s="219"/>
      <c r="BA4" s="219"/>
      <c r="BB4" s="220"/>
    </row>
    <row r="5" spans="19:54" ht="52.5" customHeight="1">
      <c r="S5" s="246" t="s">
        <v>15</v>
      </c>
      <c r="T5" s="248" t="s">
        <v>16</v>
      </c>
      <c r="U5" s="248" t="s">
        <v>17</v>
      </c>
      <c r="V5" s="248" t="s">
        <v>18</v>
      </c>
      <c r="W5" s="248" t="s">
        <v>19</v>
      </c>
      <c r="X5" s="248" t="s">
        <v>20</v>
      </c>
      <c r="Y5" s="248" t="s">
        <v>21</v>
      </c>
      <c r="Z5" s="250" t="s">
        <v>22</v>
      </c>
      <c r="AA5" s="252" t="s">
        <v>23</v>
      </c>
      <c r="AB5" s="270" t="s">
        <v>9</v>
      </c>
      <c r="AC5" s="272" t="s">
        <v>24</v>
      </c>
      <c r="AD5" s="272" t="s">
        <v>25</v>
      </c>
      <c r="AE5" s="274" t="s">
        <v>26</v>
      </c>
      <c r="AF5" s="209" t="s">
        <v>27</v>
      </c>
      <c r="AG5" s="209" t="s">
        <v>28</v>
      </c>
      <c r="AH5" s="263" t="s">
        <v>29</v>
      </c>
      <c r="AI5" s="263" t="s">
        <v>30</v>
      </c>
      <c r="AJ5" s="265" t="s">
        <v>31</v>
      </c>
      <c r="AK5" s="267" t="s">
        <v>32</v>
      </c>
      <c r="AL5" s="268"/>
      <c r="AM5" s="268"/>
      <c r="AN5" s="268"/>
      <c r="AO5" s="268"/>
      <c r="AP5" s="268"/>
      <c r="AQ5" s="268"/>
      <c r="AR5" s="269"/>
      <c r="AS5" s="259" t="s">
        <v>33</v>
      </c>
      <c r="AT5" s="259" t="s">
        <v>34</v>
      </c>
      <c r="AU5" s="259" t="s">
        <v>35</v>
      </c>
      <c r="AV5" s="259" t="s">
        <v>66</v>
      </c>
      <c r="AW5" s="261" t="s">
        <v>36</v>
      </c>
      <c r="AX5" s="252" t="s">
        <v>37</v>
      </c>
      <c r="AY5" s="221" t="s">
        <v>38</v>
      </c>
      <c r="AZ5" s="221" t="s">
        <v>39</v>
      </c>
      <c r="BA5" s="221" t="s">
        <v>40</v>
      </c>
      <c r="BB5" s="223" t="s">
        <v>41</v>
      </c>
    </row>
    <row r="6" spans="19:54" ht="27.95" customHeight="1" thickBot="1">
      <c r="S6" s="247"/>
      <c r="T6" s="249"/>
      <c r="U6" s="249"/>
      <c r="V6" s="249"/>
      <c r="W6" s="249"/>
      <c r="X6" s="249"/>
      <c r="Y6" s="249"/>
      <c r="Z6" s="251"/>
      <c r="AA6" s="253"/>
      <c r="AB6" s="271"/>
      <c r="AC6" s="273"/>
      <c r="AD6" s="273"/>
      <c r="AE6" s="275"/>
      <c r="AF6" s="210"/>
      <c r="AG6" s="210"/>
      <c r="AH6" s="264"/>
      <c r="AI6" s="264"/>
      <c r="AJ6" s="266"/>
      <c r="AK6" s="9">
        <v>1</v>
      </c>
      <c r="AL6" s="10">
        <v>2</v>
      </c>
      <c r="AM6" s="10">
        <v>3</v>
      </c>
      <c r="AN6" s="10">
        <v>4</v>
      </c>
      <c r="AO6" s="10">
        <v>5</v>
      </c>
      <c r="AP6" s="10">
        <v>6</v>
      </c>
      <c r="AQ6" s="10">
        <v>12</v>
      </c>
      <c r="AR6" s="11"/>
      <c r="AS6" s="260"/>
      <c r="AT6" s="260"/>
      <c r="AU6" s="260"/>
      <c r="AV6" s="260"/>
      <c r="AW6" s="262"/>
      <c r="AX6" s="253"/>
      <c r="AY6" s="222"/>
      <c r="AZ6" s="222"/>
      <c r="BA6" s="222"/>
      <c r="BB6" s="224"/>
    </row>
    <row r="7" spans="19:54" s="34" customFormat="1" ht="48" customHeight="1" thickBot="1">
      <c r="S7" s="12">
        <v>1</v>
      </c>
      <c r="T7" s="241" t="s">
        <v>1</v>
      </c>
      <c r="U7" s="13">
        <v>1338</v>
      </c>
      <c r="V7" s="14">
        <v>1</v>
      </c>
      <c r="W7" s="15" t="s">
        <v>125</v>
      </c>
      <c r="X7" s="16">
        <v>0.29444444444444445</v>
      </c>
      <c r="Y7" s="17">
        <v>0.53333333333333333</v>
      </c>
      <c r="Z7" s="18">
        <f t="shared" ref="Z7:Z15" si="0">IF(Y7&lt;X7,1+Y7-X7,Y7-X7)</f>
        <v>0.23888888888888887</v>
      </c>
      <c r="AA7" s="19"/>
      <c r="AB7" s="20"/>
      <c r="AC7" s="149">
        <f>AVERAGE(AD7:AD8)</f>
        <v>3.4722222222222224E-2</v>
      </c>
      <c r="AD7" s="100">
        <v>3.4722222222222224E-2</v>
      </c>
      <c r="AE7" s="22"/>
      <c r="AF7" s="23"/>
      <c r="AG7" s="23"/>
      <c r="AH7" s="23"/>
      <c r="AI7" s="23"/>
      <c r="AJ7" s="24">
        <v>5</v>
      </c>
      <c r="AK7" s="25"/>
      <c r="AL7" s="26"/>
      <c r="AM7" s="26"/>
      <c r="AN7" s="26">
        <v>2</v>
      </c>
      <c r="AO7" s="26">
        <v>1</v>
      </c>
      <c r="AP7" s="26"/>
      <c r="AQ7" s="26">
        <v>11</v>
      </c>
      <c r="AR7" s="27"/>
      <c r="AS7" s="28">
        <v>260</v>
      </c>
      <c r="AT7" s="13">
        <v>15</v>
      </c>
      <c r="AU7" s="13">
        <v>2</v>
      </c>
      <c r="AV7" s="13">
        <v>0</v>
      </c>
      <c r="AW7" s="29">
        <v>10</v>
      </c>
      <c r="AX7" s="30">
        <f t="shared" ref="AX7:AX15" si="1">SUM(AY7:BB7)</f>
        <v>25375</v>
      </c>
      <c r="AY7" s="31">
        <v>0</v>
      </c>
      <c r="AZ7" s="32">
        <v>0</v>
      </c>
      <c r="BA7" s="31">
        <v>0</v>
      </c>
      <c r="BB7" s="33">
        <f t="shared" ref="BB7:BB15" si="2">SUM(($AQ$6*AQ7+$AP$6*AP7+$AN$6*AN7+$AM$6*$AM7+$AL$6*AL7+$AK$6*AK7+$AO$6*AO7+$AR$6*AR7)*175)</f>
        <v>25375</v>
      </c>
    </row>
    <row r="8" spans="19:54" s="34" customFormat="1" ht="48" customHeight="1" thickBot="1">
      <c r="S8" s="12">
        <v>2</v>
      </c>
      <c r="T8" s="242"/>
      <c r="U8" s="35">
        <v>1339</v>
      </c>
      <c r="V8" s="116">
        <v>2</v>
      </c>
      <c r="W8" s="116">
        <v>1</v>
      </c>
      <c r="X8" s="36">
        <v>0.55694444444444446</v>
      </c>
      <c r="Y8" s="36">
        <v>0.7416666666666667</v>
      </c>
      <c r="Z8" s="37">
        <f t="shared" si="0"/>
        <v>0.18472222222222223</v>
      </c>
      <c r="AA8" s="38"/>
      <c r="AB8" s="39"/>
      <c r="AC8" s="40"/>
      <c r="AD8" s="101">
        <v>3.4722222222222224E-2</v>
      </c>
      <c r="AE8" s="41"/>
      <c r="AF8" s="42"/>
      <c r="AG8" s="42"/>
      <c r="AH8" s="42"/>
      <c r="AI8" s="42"/>
      <c r="AJ8" s="43">
        <v>5</v>
      </c>
      <c r="AK8" s="44"/>
      <c r="AL8" s="45"/>
      <c r="AM8" s="45"/>
      <c r="AN8" s="45"/>
      <c r="AO8" s="45"/>
      <c r="AP8" s="45">
        <v>1</v>
      </c>
      <c r="AQ8" s="45">
        <v>11</v>
      </c>
      <c r="AR8" s="46"/>
      <c r="AS8" s="47">
        <v>245</v>
      </c>
      <c r="AT8" s="35">
        <v>15</v>
      </c>
      <c r="AU8" s="35">
        <v>2</v>
      </c>
      <c r="AV8" s="35">
        <v>0</v>
      </c>
      <c r="AW8" s="48">
        <v>16</v>
      </c>
      <c r="AX8" s="49">
        <f t="shared" si="1"/>
        <v>24150</v>
      </c>
      <c r="AY8" s="50">
        <v>0</v>
      </c>
      <c r="AZ8" s="51">
        <v>0</v>
      </c>
      <c r="BA8" s="52">
        <v>0</v>
      </c>
      <c r="BB8" s="53">
        <f t="shared" si="2"/>
        <v>24150</v>
      </c>
    </row>
    <row r="9" spans="19:54" s="34" customFormat="1" ht="48" customHeight="1" thickBot="1">
      <c r="S9" s="12">
        <v>3</v>
      </c>
      <c r="T9" s="242"/>
      <c r="U9" s="35"/>
      <c r="V9" s="116"/>
      <c r="W9" s="116"/>
      <c r="X9" s="36"/>
      <c r="Y9" s="36"/>
      <c r="Z9" s="37">
        <f t="shared" si="0"/>
        <v>0</v>
      </c>
      <c r="AA9" s="38"/>
      <c r="AB9" s="39"/>
      <c r="AC9" s="40"/>
      <c r="AD9" s="101"/>
      <c r="AE9" s="41"/>
      <c r="AF9" s="42"/>
      <c r="AG9" s="42"/>
      <c r="AH9" s="42"/>
      <c r="AI9" s="42"/>
      <c r="AJ9" s="43"/>
      <c r="AK9" s="44"/>
      <c r="AL9" s="45"/>
      <c r="AM9" s="45"/>
      <c r="AN9" s="45"/>
      <c r="AO9" s="45"/>
      <c r="AP9" s="45"/>
      <c r="AQ9" s="45"/>
      <c r="AR9" s="46"/>
      <c r="AS9" s="47"/>
      <c r="AT9" s="35"/>
      <c r="AU9" s="35"/>
      <c r="AV9" s="35"/>
      <c r="AW9" s="48"/>
      <c r="AX9" s="49">
        <f t="shared" si="1"/>
        <v>0</v>
      </c>
      <c r="AY9" s="51">
        <v>0</v>
      </c>
      <c r="AZ9" s="52">
        <v>0</v>
      </c>
      <c r="BA9" s="51">
        <v>0</v>
      </c>
      <c r="BB9" s="53">
        <f t="shared" si="2"/>
        <v>0</v>
      </c>
    </row>
    <row r="10" spans="19:54" s="34" customFormat="1" ht="48" customHeight="1" thickBot="1">
      <c r="S10" s="12">
        <v>4</v>
      </c>
      <c r="T10" s="243" t="s">
        <v>5</v>
      </c>
      <c r="U10" s="13">
        <v>1340</v>
      </c>
      <c r="V10" s="14">
        <v>3</v>
      </c>
      <c r="W10" s="15" t="s">
        <v>125</v>
      </c>
      <c r="X10" s="16">
        <v>0.74652777777777779</v>
      </c>
      <c r="Y10" s="17">
        <v>0.95972222222222225</v>
      </c>
      <c r="Z10" s="37">
        <f t="shared" si="0"/>
        <v>0.21319444444444446</v>
      </c>
      <c r="AA10" s="38"/>
      <c r="AB10" s="39"/>
      <c r="AC10" s="147">
        <f>AVERAGE(AD10:AD11)</f>
        <v>4.2708333333333334E-2</v>
      </c>
      <c r="AD10" s="101">
        <v>3.125E-2</v>
      </c>
      <c r="AE10" s="41"/>
      <c r="AF10" s="42"/>
      <c r="AG10" s="42"/>
      <c r="AH10" s="42"/>
      <c r="AI10" s="42"/>
      <c r="AJ10" s="43">
        <v>5</v>
      </c>
      <c r="AK10" s="44"/>
      <c r="AL10" s="45"/>
      <c r="AM10" s="45"/>
      <c r="AN10" s="45"/>
      <c r="AO10" s="45"/>
      <c r="AP10" s="45"/>
      <c r="AQ10" s="45">
        <v>10</v>
      </c>
      <c r="AR10" s="46"/>
      <c r="AS10" s="47">
        <v>240</v>
      </c>
      <c r="AT10" s="35">
        <v>15</v>
      </c>
      <c r="AU10" s="35">
        <v>2</v>
      </c>
      <c r="AV10" s="35">
        <v>0</v>
      </c>
      <c r="AW10" s="48">
        <v>25</v>
      </c>
      <c r="AX10" s="49">
        <f t="shared" si="1"/>
        <v>21000</v>
      </c>
      <c r="AY10" s="51">
        <v>0</v>
      </c>
      <c r="AZ10" s="52">
        <v>0</v>
      </c>
      <c r="BA10" s="51">
        <v>0</v>
      </c>
      <c r="BB10" s="53">
        <f t="shared" si="2"/>
        <v>21000</v>
      </c>
    </row>
    <row r="11" spans="19:54" s="34" customFormat="1" ht="48" customHeight="1" thickBot="1">
      <c r="S11" s="12">
        <v>5</v>
      </c>
      <c r="T11" s="243"/>
      <c r="U11" s="35">
        <v>1341</v>
      </c>
      <c r="V11" s="116">
        <v>4</v>
      </c>
      <c r="W11" s="116">
        <v>1</v>
      </c>
      <c r="X11" s="36">
        <v>0.96527777777777779</v>
      </c>
      <c r="Y11" s="120">
        <v>0.19652777777777777</v>
      </c>
      <c r="Z11" s="37">
        <f t="shared" si="0"/>
        <v>0.23125000000000007</v>
      </c>
      <c r="AA11" s="38"/>
      <c r="AB11" s="39"/>
      <c r="AC11" s="147"/>
      <c r="AD11" s="101">
        <v>5.4166666666666669E-2</v>
      </c>
      <c r="AE11" s="41"/>
      <c r="AF11" s="42"/>
      <c r="AG11" s="42"/>
      <c r="AH11" s="42"/>
      <c r="AI11" s="42"/>
      <c r="AJ11" s="43">
        <v>5</v>
      </c>
      <c r="AK11" s="44"/>
      <c r="AL11" s="45"/>
      <c r="AM11" s="45"/>
      <c r="AN11" s="45"/>
      <c r="AO11" s="45"/>
      <c r="AP11" s="45"/>
      <c r="AQ11" s="45">
        <v>11</v>
      </c>
      <c r="AR11" s="46"/>
      <c r="AS11" s="47">
        <v>265</v>
      </c>
      <c r="AT11" s="35">
        <v>15</v>
      </c>
      <c r="AU11" s="35">
        <v>2</v>
      </c>
      <c r="AV11" s="35">
        <v>0</v>
      </c>
      <c r="AW11" s="48">
        <v>0</v>
      </c>
      <c r="AX11" s="49">
        <f t="shared" si="1"/>
        <v>25100</v>
      </c>
      <c r="AY11" s="50">
        <v>0</v>
      </c>
      <c r="AZ11" s="51">
        <v>2000</v>
      </c>
      <c r="BA11" s="52">
        <v>0</v>
      </c>
      <c r="BB11" s="53">
        <f t="shared" si="2"/>
        <v>23100</v>
      </c>
    </row>
    <row r="12" spans="19:54" s="34" customFormat="1" ht="48" customHeight="1" thickBot="1">
      <c r="S12" s="12">
        <v>10</v>
      </c>
      <c r="T12" s="243"/>
      <c r="U12" s="13"/>
      <c r="V12" s="14"/>
      <c r="W12" s="14"/>
      <c r="X12" s="54"/>
      <c r="Y12" s="54"/>
      <c r="Z12" s="55">
        <f t="shared" si="0"/>
        <v>0</v>
      </c>
      <c r="AA12" s="19"/>
      <c r="AB12" s="20"/>
      <c r="AC12" s="149"/>
      <c r="AD12" s="100"/>
      <c r="AE12" s="22"/>
      <c r="AF12" s="23"/>
      <c r="AG12" s="23"/>
      <c r="AH12" s="23"/>
      <c r="AI12" s="23"/>
      <c r="AJ12" s="24"/>
      <c r="AK12" s="25"/>
      <c r="AL12" s="26"/>
      <c r="AM12" s="26"/>
      <c r="AN12" s="26"/>
      <c r="AO12" s="26"/>
      <c r="AP12" s="26"/>
      <c r="AQ12" s="26"/>
      <c r="AR12" s="27"/>
      <c r="AS12" s="28"/>
      <c r="AT12" s="13"/>
      <c r="AU12" s="13"/>
      <c r="AV12" s="13"/>
      <c r="AW12" s="29"/>
      <c r="AX12" s="30">
        <f t="shared" si="1"/>
        <v>0</v>
      </c>
      <c r="AY12" s="31">
        <v>0</v>
      </c>
      <c r="AZ12" s="32">
        <v>0</v>
      </c>
      <c r="BA12" s="31">
        <v>0</v>
      </c>
      <c r="BB12" s="56">
        <f t="shared" si="2"/>
        <v>0</v>
      </c>
    </row>
    <row r="13" spans="19:54" s="34" customFormat="1" ht="48" customHeight="1" thickBot="1">
      <c r="S13" s="12">
        <v>11</v>
      </c>
      <c r="T13" s="244" t="s">
        <v>65</v>
      </c>
      <c r="U13" s="35"/>
      <c r="V13" s="116"/>
      <c r="W13" s="116"/>
      <c r="X13" s="36"/>
      <c r="Y13" s="36"/>
      <c r="Z13" s="37">
        <f t="shared" si="0"/>
        <v>0</v>
      </c>
      <c r="AA13" s="38"/>
      <c r="AB13" s="39"/>
      <c r="AC13" s="147"/>
      <c r="AD13" s="101"/>
      <c r="AE13" s="41"/>
      <c r="AF13" s="42"/>
      <c r="AG13" s="42"/>
      <c r="AH13" s="42"/>
      <c r="AI13" s="42"/>
      <c r="AJ13" s="43"/>
      <c r="AK13" s="44"/>
      <c r="AL13" s="45"/>
      <c r="AM13" s="45"/>
      <c r="AN13" s="45"/>
      <c r="AO13" s="45"/>
      <c r="AP13" s="45"/>
      <c r="AQ13" s="45"/>
      <c r="AR13" s="46"/>
      <c r="AS13" s="47"/>
      <c r="AT13" s="35"/>
      <c r="AU13" s="35"/>
      <c r="AV13" s="35"/>
      <c r="AW13" s="48"/>
      <c r="AX13" s="49">
        <f t="shared" si="1"/>
        <v>0</v>
      </c>
      <c r="AY13" s="50">
        <v>0</v>
      </c>
      <c r="AZ13" s="51">
        <v>0</v>
      </c>
      <c r="BA13" s="52">
        <v>0</v>
      </c>
      <c r="BB13" s="57">
        <f t="shared" si="2"/>
        <v>0</v>
      </c>
    </row>
    <row r="14" spans="19:54" s="34" customFormat="1" ht="48" customHeight="1" thickBot="1">
      <c r="S14" s="12">
        <v>12</v>
      </c>
      <c r="T14" s="244"/>
      <c r="U14" s="35"/>
      <c r="V14" s="116"/>
      <c r="W14" s="116"/>
      <c r="X14" s="36"/>
      <c r="Y14" s="36"/>
      <c r="Z14" s="37">
        <f t="shared" si="0"/>
        <v>0</v>
      </c>
      <c r="AA14" s="38"/>
      <c r="AB14" s="39"/>
      <c r="AC14" s="147"/>
      <c r="AD14" s="101"/>
      <c r="AE14" s="41"/>
      <c r="AF14" s="42"/>
      <c r="AG14" s="42"/>
      <c r="AH14" s="42"/>
      <c r="AI14" s="42"/>
      <c r="AJ14" s="43"/>
      <c r="AK14" s="44"/>
      <c r="AL14" s="45"/>
      <c r="AM14" s="45"/>
      <c r="AN14" s="45"/>
      <c r="AO14" s="45"/>
      <c r="AP14" s="45"/>
      <c r="AQ14" s="45"/>
      <c r="AR14" s="46"/>
      <c r="AS14" s="47"/>
      <c r="AT14" s="35"/>
      <c r="AU14" s="35"/>
      <c r="AV14" s="35"/>
      <c r="AW14" s="48"/>
      <c r="AX14" s="49">
        <f t="shared" si="1"/>
        <v>0</v>
      </c>
      <c r="AY14" s="51">
        <v>0</v>
      </c>
      <c r="AZ14" s="52">
        <v>0</v>
      </c>
      <c r="BA14" s="51">
        <v>0</v>
      </c>
      <c r="BB14" s="57">
        <f t="shared" si="2"/>
        <v>0</v>
      </c>
    </row>
    <row r="15" spans="19:54" s="34" customFormat="1" ht="48" customHeight="1" thickBot="1">
      <c r="S15" s="12">
        <v>13</v>
      </c>
      <c r="T15" s="245"/>
      <c r="U15" s="58"/>
      <c r="V15" s="59"/>
      <c r="W15" s="59"/>
      <c r="X15" s="60"/>
      <c r="Y15" s="60"/>
      <c r="Z15" s="61">
        <f t="shared" si="0"/>
        <v>0</v>
      </c>
      <c r="AA15" s="62"/>
      <c r="AB15" s="63"/>
      <c r="AC15" s="148"/>
      <c r="AD15" s="102"/>
      <c r="AE15" s="65"/>
      <c r="AF15" s="66"/>
      <c r="AG15" s="67"/>
      <c r="AH15" s="67"/>
      <c r="AI15" s="67"/>
      <c r="AJ15" s="66"/>
      <c r="AK15" s="68"/>
      <c r="AL15" s="69"/>
      <c r="AM15" s="69"/>
      <c r="AN15" s="69"/>
      <c r="AO15" s="69"/>
      <c r="AP15" s="69"/>
      <c r="AQ15" s="69"/>
      <c r="AR15" s="70"/>
      <c r="AS15" s="71"/>
      <c r="AT15" s="35"/>
      <c r="AU15" s="35"/>
      <c r="AV15" s="35"/>
      <c r="AW15" s="48"/>
      <c r="AX15" s="49">
        <f t="shared" si="1"/>
        <v>0</v>
      </c>
      <c r="AY15" s="50">
        <v>0</v>
      </c>
      <c r="AZ15" s="51">
        <v>0</v>
      </c>
      <c r="BA15" s="52">
        <v>0</v>
      </c>
      <c r="BB15" s="57">
        <f t="shared" si="2"/>
        <v>0</v>
      </c>
    </row>
    <row r="16" spans="19:54" s="72" customFormat="1" ht="50.1" customHeight="1">
      <c r="S16" s="254" t="s">
        <v>42</v>
      </c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5" t="s">
        <v>53</v>
      </c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6" t="s">
        <v>43</v>
      </c>
      <c r="AU16" s="257"/>
      <c r="AV16" s="257"/>
      <c r="AW16" s="257"/>
      <c r="AX16" s="257"/>
      <c r="AY16" s="257"/>
      <c r="AZ16" s="257"/>
      <c r="BA16" s="257"/>
      <c r="BB16" s="258"/>
    </row>
    <row r="17" spans="18:62" s="72" customFormat="1" ht="60" customHeight="1">
      <c r="S17" s="73" t="s">
        <v>15</v>
      </c>
      <c r="T17" s="300" t="s">
        <v>44</v>
      </c>
      <c r="U17" s="301"/>
      <c r="V17" s="302" t="s">
        <v>45</v>
      </c>
      <c r="W17" s="303"/>
      <c r="X17" s="74" t="s">
        <v>46</v>
      </c>
      <c r="Y17" s="75" t="s">
        <v>67</v>
      </c>
      <c r="Z17" s="304" t="s">
        <v>47</v>
      </c>
      <c r="AA17" s="304"/>
      <c r="AB17" s="304"/>
      <c r="AC17" s="304"/>
      <c r="AD17" s="304"/>
      <c r="AE17" s="304"/>
      <c r="AF17" s="304"/>
      <c r="AG17" s="305" t="s">
        <v>48</v>
      </c>
      <c r="AH17" s="306"/>
      <c r="AI17" s="307" t="s">
        <v>49</v>
      </c>
      <c r="AJ17" s="307"/>
      <c r="AK17" s="92"/>
      <c r="AL17" s="308" t="s">
        <v>68</v>
      </c>
      <c r="AM17" s="309"/>
      <c r="AN17" s="310"/>
      <c r="AO17" s="288" t="s">
        <v>50</v>
      </c>
      <c r="AP17" s="289"/>
      <c r="AQ17" s="289"/>
      <c r="AR17" s="289"/>
      <c r="AS17" s="289"/>
      <c r="AT17" s="76" t="s">
        <v>51</v>
      </c>
      <c r="AU17" s="290" t="s">
        <v>33</v>
      </c>
      <c r="AV17" s="291"/>
      <c r="AW17" s="77" t="s">
        <v>34</v>
      </c>
      <c r="AX17" s="77" t="s">
        <v>66</v>
      </c>
      <c r="AY17" s="77" t="s">
        <v>35</v>
      </c>
      <c r="AZ17" s="77" t="s">
        <v>36</v>
      </c>
      <c r="BA17" s="292" t="s">
        <v>52</v>
      </c>
      <c r="BB17" s="293"/>
    </row>
    <row r="18" spans="18:62" ht="60.75" customHeight="1">
      <c r="S18" s="78">
        <v>1</v>
      </c>
      <c r="T18" s="294">
        <v>0.53333333333333333</v>
      </c>
      <c r="U18" s="295"/>
      <c r="V18" s="280">
        <v>0.55694444444444446</v>
      </c>
      <c r="W18" s="281"/>
      <c r="X18" s="79" t="str">
        <f>TEXT(MOD(V18-T18,1),"h:mm")</f>
        <v>0:34</v>
      </c>
      <c r="Y18" s="80">
        <v>1339</v>
      </c>
      <c r="Z18" s="282" t="s">
        <v>126</v>
      </c>
      <c r="AA18" s="282"/>
      <c r="AB18" s="282"/>
      <c r="AC18" s="282"/>
      <c r="AD18" s="282"/>
      <c r="AE18" s="282"/>
      <c r="AF18" s="282"/>
      <c r="AG18" s="296">
        <f>SUM(AX7:AX9)</f>
        <v>49525</v>
      </c>
      <c r="AH18" s="297"/>
      <c r="AI18" s="298">
        <f>SUM(AX10:AX12)</f>
        <v>46100</v>
      </c>
      <c r="AJ18" s="298"/>
      <c r="AK18" s="93"/>
      <c r="AL18" s="298">
        <f>SUM(AX13:AX15)</f>
        <v>0</v>
      </c>
      <c r="AM18" s="298"/>
      <c r="AN18" s="298"/>
      <c r="AO18" s="299">
        <f>SUM(AG18:AN18)</f>
        <v>95625</v>
      </c>
      <c r="AP18" s="299"/>
      <c r="AQ18" s="299"/>
      <c r="AR18" s="299"/>
      <c r="AS18" s="299"/>
      <c r="AT18" s="81" t="s">
        <v>1</v>
      </c>
      <c r="AU18" s="276">
        <f>SUM(AS7:AS9)</f>
        <v>505</v>
      </c>
      <c r="AV18" s="277"/>
      <c r="AW18" s="82">
        <f>SUM(AT7:AT9)</f>
        <v>30</v>
      </c>
      <c r="AX18" s="82">
        <f>SUM(AV7:AV9)</f>
        <v>0</v>
      </c>
      <c r="AY18" s="82">
        <f>SUM(AU7:AU9)</f>
        <v>4</v>
      </c>
      <c r="AZ18" s="82">
        <f>SUM(AW7:AW9)</f>
        <v>26</v>
      </c>
      <c r="BA18" s="276">
        <f>SUM(AU18:AZ18)</f>
        <v>565</v>
      </c>
      <c r="BB18" s="277"/>
    </row>
    <row r="19" spans="18:62" ht="60.75" customHeight="1">
      <c r="S19" s="78">
        <v>2</v>
      </c>
      <c r="T19" s="278">
        <v>0.84722222222222221</v>
      </c>
      <c r="U19" s="279"/>
      <c r="V19" s="280">
        <v>0.86111111111111116</v>
      </c>
      <c r="W19" s="281"/>
      <c r="X19" s="79" t="str">
        <f>TEXT(MOD(V19-T19,1),"h:mm")</f>
        <v>0:20</v>
      </c>
      <c r="Y19" s="80">
        <v>1340</v>
      </c>
      <c r="Z19" s="282" t="s">
        <v>127</v>
      </c>
      <c r="AA19" s="282"/>
      <c r="AB19" s="282"/>
      <c r="AC19" s="282"/>
      <c r="AD19" s="282"/>
      <c r="AE19" s="282"/>
      <c r="AF19" s="282"/>
      <c r="AG19" s="283" t="s">
        <v>41</v>
      </c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5"/>
      <c r="AT19" s="83" t="s">
        <v>5</v>
      </c>
      <c r="AU19" s="286">
        <f>SUM(AS10:AS12)</f>
        <v>505</v>
      </c>
      <c r="AV19" s="287"/>
      <c r="AW19" s="84">
        <f>SUM(AT10:AT12)</f>
        <v>30</v>
      </c>
      <c r="AX19" s="84">
        <f>SUM(AV10:AV12)</f>
        <v>0</v>
      </c>
      <c r="AY19" s="84">
        <f>SUM(AU10:AU12)</f>
        <v>4</v>
      </c>
      <c r="AZ19" s="84">
        <f>SUM(AW10:AW12)</f>
        <v>25</v>
      </c>
      <c r="BA19" s="286">
        <f>SUM(AU19:AZ19)</f>
        <v>564</v>
      </c>
      <c r="BB19" s="287"/>
    </row>
    <row r="20" spans="18:62" ht="60.75" customHeight="1">
      <c r="S20" s="78">
        <v>3</v>
      </c>
      <c r="T20" s="278"/>
      <c r="U20" s="279"/>
      <c r="V20" s="280"/>
      <c r="W20" s="281"/>
      <c r="X20" s="79" t="str">
        <f>TEXT(MOD(V20-T20,1),"h:mm")</f>
        <v>0:00</v>
      </c>
      <c r="Y20" s="80"/>
      <c r="Z20" s="327"/>
      <c r="AA20" s="327"/>
      <c r="AB20" s="327"/>
      <c r="AC20" s="327"/>
      <c r="AD20" s="327"/>
      <c r="AE20" s="327"/>
      <c r="AF20" s="327"/>
      <c r="AG20" s="311">
        <f>SUM(BB7:BB9)</f>
        <v>49525</v>
      </c>
      <c r="AH20" s="328"/>
      <c r="AI20" s="311">
        <f>SUM(BB10:BB12)</f>
        <v>44100</v>
      </c>
      <c r="AJ20" s="328"/>
      <c r="AK20" s="94"/>
      <c r="AL20" s="311">
        <f>SUM(BB13:BB15)</f>
        <v>0</v>
      </c>
      <c r="AM20" s="329"/>
      <c r="AN20" s="328"/>
      <c r="AO20" s="311">
        <f>SUM(AG20:AN20)</f>
        <v>93625</v>
      </c>
      <c r="AP20" s="312"/>
      <c r="AQ20" s="312"/>
      <c r="AR20" s="312"/>
      <c r="AS20" s="313"/>
      <c r="AT20" s="91" t="s">
        <v>65</v>
      </c>
      <c r="AU20" s="314">
        <f>SUM(AS13:AS15)</f>
        <v>0</v>
      </c>
      <c r="AV20" s="315"/>
      <c r="AW20" s="99">
        <f>SUM(AT13:AT15)</f>
        <v>0</v>
      </c>
      <c r="AX20" s="99">
        <f>SUM(AV13:AV15)</f>
        <v>0</v>
      </c>
      <c r="AY20" s="99">
        <f>SUM(AU13:AU15)</f>
        <v>0</v>
      </c>
      <c r="AZ20" s="99">
        <f>SUM(AW13:AW15)</f>
        <v>0</v>
      </c>
      <c r="BA20" s="316">
        <f>SUM(AU20:AZ20)</f>
        <v>0</v>
      </c>
      <c r="BB20" s="317"/>
    </row>
    <row r="21" spans="18:62" ht="60.75" customHeight="1">
      <c r="S21" s="78">
        <v>4</v>
      </c>
      <c r="T21" s="278"/>
      <c r="U21" s="279"/>
      <c r="V21" s="280"/>
      <c r="W21" s="281"/>
      <c r="X21" s="79" t="str">
        <f>TEXT(MOD(V21-T21,1),"h:mm")</f>
        <v>0:00</v>
      </c>
      <c r="Y21" s="80"/>
      <c r="Z21" s="318"/>
      <c r="AA21" s="318"/>
      <c r="AB21" s="318"/>
      <c r="AC21" s="318"/>
      <c r="AD21" s="318"/>
      <c r="AE21" s="318"/>
      <c r="AF21" s="318"/>
      <c r="AG21" s="319" t="s">
        <v>54</v>
      </c>
      <c r="AH21" s="320"/>
      <c r="AI21" s="320"/>
      <c r="AJ21" s="320"/>
      <c r="AK21" s="320"/>
      <c r="AL21" s="320"/>
      <c r="AM21" s="320"/>
      <c r="AN21" s="320"/>
      <c r="AO21" s="320"/>
      <c r="AP21" s="320"/>
      <c r="AQ21" s="320"/>
      <c r="AR21" s="320"/>
      <c r="AS21" s="321"/>
      <c r="AT21" s="322" t="s">
        <v>55</v>
      </c>
      <c r="AU21" s="323"/>
      <c r="AV21" s="324"/>
      <c r="AW21" s="325">
        <v>1680</v>
      </c>
      <c r="AX21" s="326"/>
      <c r="AY21" s="322" t="s">
        <v>56</v>
      </c>
      <c r="AZ21" s="324"/>
      <c r="BA21" s="330">
        <v>1628</v>
      </c>
      <c r="BB21" s="331"/>
    </row>
    <row r="22" spans="18:62" ht="54" customHeight="1">
      <c r="S22" s="78">
        <v>5</v>
      </c>
      <c r="T22" s="278"/>
      <c r="U22" s="279"/>
      <c r="V22" s="280"/>
      <c r="W22" s="281"/>
      <c r="X22" s="79" t="str">
        <f>TEXT(MOD(V22-T22,1),"h:mm")</f>
        <v>0:00</v>
      </c>
      <c r="Y22" s="80"/>
      <c r="Z22" s="318"/>
      <c r="AA22" s="318"/>
      <c r="AB22" s="318"/>
      <c r="AC22" s="318"/>
      <c r="AD22" s="318"/>
      <c r="AE22" s="318"/>
      <c r="AF22" s="318"/>
      <c r="AG22" s="357">
        <f>SUM(AY7:BA9)</f>
        <v>0</v>
      </c>
      <c r="AH22" s="357"/>
      <c r="AI22" s="298">
        <f>SUM(AY10:BA12)</f>
        <v>2000</v>
      </c>
      <c r="AJ22" s="298"/>
      <c r="AK22" s="95"/>
      <c r="AL22" s="358">
        <f>SUM(AY13:BA15)</f>
        <v>0</v>
      </c>
      <c r="AM22" s="358"/>
      <c r="AN22" s="359"/>
      <c r="AO22" s="360">
        <f>SUM(AG22:AN22)</f>
        <v>2000</v>
      </c>
      <c r="AP22" s="361"/>
      <c r="AQ22" s="361"/>
      <c r="AR22" s="361"/>
      <c r="AS22" s="362"/>
      <c r="AT22" s="98" t="s">
        <v>69</v>
      </c>
      <c r="AU22" s="363" t="s">
        <v>48</v>
      </c>
      <c r="AV22" s="364"/>
      <c r="AW22" s="365" t="s">
        <v>49</v>
      </c>
      <c r="AX22" s="366"/>
      <c r="AY22" s="332" t="s">
        <v>68</v>
      </c>
      <c r="AZ22" s="333"/>
      <c r="BA22" s="334" t="s">
        <v>57</v>
      </c>
      <c r="BB22" s="335"/>
    </row>
    <row r="23" spans="18:62" ht="59.25" customHeight="1">
      <c r="S23" s="336" t="s">
        <v>61</v>
      </c>
      <c r="T23" s="337"/>
      <c r="U23" s="337"/>
      <c r="V23" s="337"/>
      <c r="W23" s="338"/>
      <c r="X23" s="85">
        <f>SUM(X18+X19+X20+X21+X22)</f>
        <v>3.7499999999999999E-2</v>
      </c>
      <c r="Y23" s="117" t="s">
        <v>62</v>
      </c>
      <c r="Z23" s="86"/>
      <c r="AA23" s="87"/>
      <c r="AB23" s="87"/>
      <c r="AC23" s="339" t="s">
        <v>63</v>
      </c>
      <c r="AD23" s="339"/>
      <c r="AE23" s="340"/>
      <c r="AF23" s="341"/>
      <c r="AG23" s="342" t="s">
        <v>22</v>
      </c>
      <c r="AH23" s="343"/>
      <c r="AI23" s="344"/>
      <c r="AJ23" s="345" t="s">
        <v>48</v>
      </c>
      <c r="AK23" s="346"/>
      <c r="AL23" s="346"/>
      <c r="AM23" s="347"/>
      <c r="AN23" s="348" t="s">
        <v>49</v>
      </c>
      <c r="AO23" s="348"/>
      <c r="AP23" s="348"/>
      <c r="AQ23" s="349" t="s">
        <v>68</v>
      </c>
      <c r="AR23" s="350"/>
      <c r="AS23" s="351"/>
      <c r="AT23" s="96" t="s">
        <v>60</v>
      </c>
      <c r="AU23" s="352">
        <f>SUM(AQ7:AQ9)</f>
        <v>22</v>
      </c>
      <c r="AV23" s="353"/>
      <c r="AW23" s="352">
        <f>SUM(AQ10:AQ12)</f>
        <v>21</v>
      </c>
      <c r="AX23" s="354"/>
      <c r="AY23" s="352">
        <f>SUM(AQ13:AQ15)</f>
        <v>0</v>
      </c>
      <c r="AZ23" s="353"/>
      <c r="BA23" s="355">
        <f>SUM(AU23:AZ23)</f>
        <v>43</v>
      </c>
      <c r="BB23" s="356"/>
    </row>
    <row r="24" spans="18:62" ht="57" customHeight="1">
      <c r="S24" s="367"/>
      <c r="T24" s="368"/>
      <c r="U24" s="368"/>
      <c r="V24" s="368"/>
      <c r="W24" s="369"/>
      <c r="X24" s="373" t="s">
        <v>73</v>
      </c>
      <c r="Y24" s="104" t="s">
        <v>70</v>
      </c>
      <c r="Z24" s="105" t="s">
        <v>71</v>
      </c>
      <c r="AA24" s="103"/>
      <c r="AB24" s="103"/>
      <c r="AC24" s="375" t="s">
        <v>72</v>
      </c>
      <c r="AD24" s="376"/>
      <c r="AE24" s="377" t="s">
        <v>57</v>
      </c>
      <c r="AF24" s="378"/>
      <c r="AG24" s="379" t="s">
        <v>58</v>
      </c>
      <c r="AH24" s="380"/>
      <c r="AI24" s="381"/>
      <c r="AJ24" s="382">
        <f>AVERAGE(Z7:Z8)</f>
        <v>0.21180555555555555</v>
      </c>
      <c r="AK24" s="383"/>
      <c r="AL24" s="383"/>
      <c r="AM24" s="383"/>
      <c r="AN24" s="382">
        <f>AVERAGE(Z10:Z11)</f>
        <v>0.22222222222222227</v>
      </c>
      <c r="AO24" s="383"/>
      <c r="AP24" s="383"/>
      <c r="AQ24" s="382">
        <f>AVERAGE(Z13:Z14)</f>
        <v>0</v>
      </c>
      <c r="AR24" s="383"/>
      <c r="AS24" s="383"/>
      <c r="AT24" s="97" t="s">
        <v>64</v>
      </c>
      <c r="AU24" s="387">
        <f>SUM(AL7:AP9)</f>
        <v>4</v>
      </c>
      <c r="AV24" s="388"/>
      <c r="AW24" s="387">
        <f>SUM(AL10:AP12)</f>
        <v>0</v>
      </c>
      <c r="AX24" s="388"/>
      <c r="AY24" s="387">
        <f>SUM(AL13:AP15)</f>
        <v>0</v>
      </c>
      <c r="AZ24" s="388"/>
      <c r="BA24" s="389">
        <f>SUM(AU24:AZ24)</f>
        <v>4</v>
      </c>
      <c r="BB24" s="390"/>
    </row>
    <row r="25" spans="18:62" ht="52.5" customHeight="1">
      <c r="S25" s="370"/>
      <c r="T25" s="371"/>
      <c r="U25" s="371"/>
      <c r="V25" s="371"/>
      <c r="W25" s="372"/>
      <c r="X25" s="374"/>
      <c r="Y25" s="106">
        <f>SUM(AD7:AD8)</f>
        <v>6.9444444444444448E-2</v>
      </c>
      <c r="Z25" s="106">
        <f>SUM(AD10:AD12)</f>
        <v>8.5416666666666669E-2</v>
      </c>
      <c r="AA25" s="107"/>
      <c r="AB25" s="107"/>
      <c r="AC25" s="391">
        <f>SUM(AD13:AD15)</f>
        <v>0</v>
      </c>
      <c r="AD25" s="392"/>
      <c r="AE25" s="393">
        <f>SUM(Y25:AD25)</f>
        <v>0.15486111111111112</v>
      </c>
      <c r="AF25" s="394"/>
      <c r="AG25" s="379" t="s">
        <v>59</v>
      </c>
      <c r="AH25" s="380"/>
      <c r="AI25" s="381"/>
      <c r="AJ25" s="382">
        <f>SUM(Z7:Z9)</f>
        <v>0.4236111111111111</v>
      </c>
      <c r="AK25" s="383"/>
      <c r="AL25" s="383"/>
      <c r="AM25" s="383"/>
      <c r="AN25" s="382">
        <f>SUM(Z10:Z12)</f>
        <v>0.44444444444444453</v>
      </c>
      <c r="AO25" s="383"/>
      <c r="AP25" s="383"/>
      <c r="AQ25" s="382">
        <f>SUM(Z13:Z15)</f>
        <v>0</v>
      </c>
      <c r="AR25" s="383"/>
      <c r="AS25" s="383"/>
      <c r="AT25" s="384"/>
      <c r="AU25" s="385"/>
      <c r="AV25" s="385"/>
      <c r="AW25" s="385"/>
      <c r="AX25" s="385"/>
      <c r="AY25" s="385"/>
      <c r="AZ25" s="385"/>
      <c r="BA25" s="385"/>
      <c r="BB25" s="386"/>
    </row>
    <row r="26" spans="18:62" ht="60.75" customHeight="1"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8:62" ht="30" customHeight="1"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8:62" ht="30" customHeight="1"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T28" s="4"/>
      <c r="AU28" s="4"/>
      <c r="AV28" s="4"/>
      <c r="AW28" s="4"/>
      <c r="AX28" s="4"/>
      <c r="AY28" s="4"/>
      <c r="AZ28" s="4"/>
      <c r="BA28" s="4"/>
    </row>
    <row r="29" spans="18:62" ht="30" customHeight="1"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T29" s="4"/>
      <c r="AU29" s="4"/>
      <c r="AV29" s="4"/>
      <c r="AW29" s="4"/>
      <c r="AX29" s="4"/>
      <c r="AY29" s="4"/>
      <c r="AZ29" s="4"/>
      <c r="BA29" s="4"/>
    </row>
    <row r="30" spans="18:62" ht="30" customHeight="1">
      <c r="R30" s="3"/>
      <c r="S30" s="3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T30" s="4"/>
      <c r="AU30" s="4"/>
      <c r="AV30" s="4"/>
      <c r="AW30" s="4"/>
      <c r="AX30" s="4"/>
      <c r="AY30" s="4"/>
      <c r="AZ30" s="4"/>
      <c r="BA30" s="4"/>
    </row>
    <row r="31" spans="18:62" ht="30" customHeight="1">
      <c r="R31" s="3"/>
      <c r="S31" s="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T31" s="4"/>
      <c r="AU31" s="4"/>
      <c r="AV31" s="4"/>
      <c r="AW31" s="4"/>
      <c r="AX31" s="4"/>
      <c r="AY31" s="4"/>
      <c r="AZ31" s="4"/>
      <c r="BA31" s="4"/>
    </row>
    <row r="32" spans="18:62" ht="15" customHeight="1">
      <c r="S32" s="3"/>
      <c r="BJ32" s="4">
        <v>8</v>
      </c>
    </row>
  </sheetData>
  <mergeCells count="145">
    <mergeCell ref="S1:W3"/>
    <mergeCell ref="X1:Y3"/>
    <mergeCell ref="AC1:AE1"/>
    <mergeCell ref="AF1:AH1"/>
    <mergeCell ref="AI1:AL1"/>
    <mergeCell ref="AM1:AP1"/>
    <mergeCell ref="AF3:AH3"/>
    <mergeCell ref="AI3:AL3"/>
    <mergeCell ref="AM3:AP3"/>
    <mergeCell ref="AQ1:AT1"/>
    <mergeCell ref="AU1:AW1"/>
    <mergeCell ref="AF5:AF6"/>
    <mergeCell ref="AG5:AG6"/>
    <mergeCell ref="AX1:BB3"/>
    <mergeCell ref="AC2:AE2"/>
    <mergeCell ref="AF2:AH2"/>
    <mergeCell ref="AI2:AL2"/>
    <mergeCell ref="AM2:AP2"/>
    <mergeCell ref="AQ2:AT2"/>
    <mergeCell ref="AU2:AW2"/>
    <mergeCell ref="AC3:AE3"/>
    <mergeCell ref="AQ3:AT3"/>
    <mergeCell ref="AU3:AW3"/>
    <mergeCell ref="AX4:BB4"/>
    <mergeCell ref="BA5:BA6"/>
    <mergeCell ref="BB5:BB6"/>
    <mergeCell ref="S4:Z4"/>
    <mergeCell ref="AA4:AB4"/>
    <mergeCell ref="AC4:AD4"/>
    <mergeCell ref="AE4:AJ4"/>
    <mergeCell ref="AL4:AQ4"/>
    <mergeCell ref="AS4:AW4"/>
    <mergeCell ref="T7:T9"/>
    <mergeCell ref="T10:T12"/>
    <mergeCell ref="T13:T15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S16:AF16"/>
    <mergeCell ref="AG16:AS16"/>
    <mergeCell ref="AT16:BB16"/>
    <mergeCell ref="AU5:AU6"/>
    <mergeCell ref="AV5:AV6"/>
    <mergeCell ref="AW5:AW6"/>
    <mergeCell ref="AX5:AX6"/>
    <mergeCell ref="AY5:AY6"/>
    <mergeCell ref="AZ5:AZ6"/>
    <mergeCell ref="AH5:AH6"/>
    <mergeCell ref="AI5:AI6"/>
    <mergeCell ref="AJ5:AJ6"/>
    <mergeCell ref="AK5:AR5"/>
    <mergeCell ref="AS5:AS6"/>
    <mergeCell ref="AT5:AT6"/>
    <mergeCell ref="AB5:AB6"/>
    <mergeCell ref="AC5:AC6"/>
    <mergeCell ref="AD5:AD6"/>
    <mergeCell ref="AE5:AE6"/>
    <mergeCell ref="AU18:AV18"/>
    <mergeCell ref="BA18:BB18"/>
    <mergeCell ref="T19:U19"/>
    <mergeCell ref="V19:W19"/>
    <mergeCell ref="Z19:AF19"/>
    <mergeCell ref="AG19:AS19"/>
    <mergeCell ref="AU19:AV19"/>
    <mergeCell ref="BA19:BB19"/>
    <mergeCell ref="AO17:AS17"/>
    <mergeCell ref="AU17:AV17"/>
    <mergeCell ref="BA17:BB17"/>
    <mergeCell ref="T18:U18"/>
    <mergeCell ref="V18:W18"/>
    <mergeCell ref="Z18:AF18"/>
    <mergeCell ref="AG18:AH18"/>
    <mergeCell ref="AI18:AJ18"/>
    <mergeCell ref="AL18:AN18"/>
    <mergeCell ref="AO18:AS18"/>
    <mergeCell ref="T17:U17"/>
    <mergeCell ref="V17:W17"/>
    <mergeCell ref="Z17:AF17"/>
    <mergeCell ref="AG17:AH17"/>
    <mergeCell ref="AI17:AJ17"/>
    <mergeCell ref="AL17:AN17"/>
    <mergeCell ref="AO20:AS20"/>
    <mergeCell ref="AU20:AV20"/>
    <mergeCell ref="BA20:BB20"/>
    <mergeCell ref="T21:U21"/>
    <mergeCell ref="V21:W21"/>
    <mergeCell ref="Z21:AF21"/>
    <mergeCell ref="AG21:AS21"/>
    <mergeCell ref="AT21:AV21"/>
    <mergeCell ref="AW21:AX21"/>
    <mergeCell ref="AY21:AZ21"/>
    <mergeCell ref="T20:U20"/>
    <mergeCell ref="V20:W20"/>
    <mergeCell ref="Z20:AF20"/>
    <mergeCell ref="AG20:AH20"/>
    <mergeCell ref="AI20:AJ20"/>
    <mergeCell ref="AL20:AN20"/>
    <mergeCell ref="BA21:BB21"/>
    <mergeCell ref="AY22:AZ22"/>
    <mergeCell ref="BA22:BB22"/>
    <mergeCell ref="S23:W23"/>
    <mergeCell ref="AC23:AD23"/>
    <mergeCell ref="AE23:AF23"/>
    <mergeCell ref="AG23:AI23"/>
    <mergeCell ref="AJ23:AM23"/>
    <mergeCell ref="AN23:AP23"/>
    <mergeCell ref="AQ23:AS23"/>
    <mergeCell ref="AU23:AV23"/>
    <mergeCell ref="AW23:AX23"/>
    <mergeCell ref="AY23:AZ23"/>
    <mergeCell ref="BA23:BB23"/>
    <mergeCell ref="T22:U22"/>
    <mergeCell ref="V22:W22"/>
    <mergeCell ref="Z22:AF22"/>
    <mergeCell ref="AG22:AH22"/>
    <mergeCell ref="AI22:AJ22"/>
    <mergeCell ref="AL22:AN22"/>
    <mergeCell ref="AO22:AS22"/>
    <mergeCell ref="AU22:AV22"/>
    <mergeCell ref="AW22:AX22"/>
    <mergeCell ref="S24:W25"/>
    <mergeCell ref="X24:X25"/>
    <mergeCell ref="AC24:AD24"/>
    <mergeCell ref="AE24:AF24"/>
    <mergeCell ref="AG24:AI24"/>
    <mergeCell ref="AJ24:AM24"/>
    <mergeCell ref="AN24:AP24"/>
    <mergeCell ref="AQ25:AS25"/>
    <mergeCell ref="AT25:BB25"/>
    <mergeCell ref="AQ24:AS24"/>
    <mergeCell ref="AU24:AV24"/>
    <mergeCell ref="AW24:AX24"/>
    <mergeCell ref="AY24:AZ24"/>
    <mergeCell ref="BA24:BB24"/>
    <mergeCell ref="AC25:AD25"/>
    <mergeCell ref="AE25:AF25"/>
    <mergeCell ref="AG25:AI25"/>
    <mergeCell ref="AJ25:AM25"/>
    <mergeCell ref="AN25:AP25"/>
  </mergeCells>
  <conditionalFormatting sqref="Z7:Z15">
    <cfRule type="cellIs" dxfId="12" priority="3" operator="greaterThan">
      <formula>0.167361111111111</formula>
    </cfRule>
    <cfRule type="cellIs" dxfId="11" priority="4" operator="greaterThan">
      <formula>0.15625</formula>
    </cfRule>
  </conditionalFormatting>
  <conditionalFormatting sqref="AA7:AJ15">
    <cfRule type="cellIs" dxfId="10" priority="11" operator="between">
      <formula>1700</formula>
      <formula>1710</formula>
    </cfRule>
    <cfRule type="cellIs" dxfId="9" priority="12" operator="between">
      <formula>1691</formula>
      <formula>1700</formula>
    </cfRule>
  </conditionalFormatting>
  <conditionalFormatting sqref="AS7:AS15">
    <cfRule type="expression" dxfId="8" priority="13">
      <formula>IF(($AS7/$AX7)*1000&gt;$AY$1,1,0)</formula>
    </cfRule>
  </conditionalFormatting>
  <conditionalFormatting sqref="AT7:AW15">
    <cfRule type="cellIs" dxfId="7" priority="5" operator="greaterThan">
      <formula>10</formula>
    </cfRule>
  </conditionalFormatting>
  <conditionalFormatting sqref="AX7:AX15">
    <cfRule type="cellIs" dxfId="6" priority="2" operator="between">
      <formula>16000</formula>
      <formula>17200</formula>
    </cfRule>
    <cfRule type="cellIs" dxfId="5" priority="6" operator="lessThan">
      <formula>15800</formula>
    </cfRule>
    <cfRule type="cellIs" dxfId="4" priority="7" operator="greaterThan">
      <formula>18000</formula>
    </cfRule>
  </conditionalFormatting>
  <conditionalFormatting sqref="AZ7:BA15">
    <cfRule type="cellIs" dxfId="3" priority="10" operator="greaterThan">
      <formula>0</formula>
    </cfRule>
  </conditionalFormatting>
  <conditionalFormatting sqref="BB7:BB15">
    <cfRule type="cellIs" dxfId="2" priority="1" operator="between">
      <formula>16000</formula>
      <formula>17200</formula>
    </cfRule>
    <cfRule type="cellIs" dxfId="1" priority="8" operator="greaterThan">
      <formula>18000</formula>
    </cfRule>
    <cfRule type="cellIs" dxfId="0" priority="9" operator="lessThan">
      <formula>15800</formula>
    </cfRule>
  </conditionalFormatting>
  <printOptions horizontalCentered="1" verticalCentered="1"/>
  <pageMargins left="0" right="0" top="0" bottom="0.21" header="0" footer="0"/>
  <pageSetup paperSize="9" scale="42" orientation="landscape" cellComments="asDisplayed" r:id="rId1"/>
  <headerFooter differentFirst="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09534-23E4-4E6B-9F96-28EE95E1D18F}">
  <sheetPr>
    <pageSetUpPr fitToPage="1"/>
  </sheetPr>
  <dimension ref="A1:AD55"/>
  <sheetViews>
    <sheetView rightToLeft="1" tabSelected="1" topLeftCell="K25" zoomScaleNormal="100" workbookViewId="0">
      <selection activeCell="AD5" sqref="AD5"/>
    </sheetView>
  </sheetViews>
  <sheetFormatPr defaultColWidth="12.85546875" defaultRowHeight="26.25" customHeight="1"/>
  <cols>
    <col min="1" max="1" width="4.7109375" customWidth="1"/>
    <col min="2" max="2" width="6.85546875" customWidth="1"/>
    <col min="4" max="4" width="14.140625" bestFit="1" customWidth="1"/>
    <col min="5" max="5" width="12" customWidth="1"/>
    <col min="6" max="6" width="5.5703125" customWidth="1"/>
    <col min="7" max="7" width="7" customWidth="1"/>
    <col min="9" max="9" width="14.7109375" bestFit="1" customWidth="1"/>
    <col min="10" max="10" width="13.140625" customWidth="1"/>
    <col min="11" max="11" width="5.140625" customWidth="1"/>
    <col min="12" max="12" width="7.28515625" customWidth="1"/>
    <col min="16" max="16" width="5.42578125" customWidth="1"/>
    <col min="17" max="17" width="7.28515625" customWidth="1"/>
    <col min="21" max="21" width="5.140625" customWidth="1"/>
    <col min="22" max="22" width="7.28515625" customWidth="1"/>
    <col min="26" max="26" width="6" customWidth="1"/>
    <col min="27" max="27" width="7.7109375" customWidth="1"/>
  </cols>
  <sheetData>
    <row r="1" spans="1:30" ht="26.25" customHeight="1">
      <c r="A1" s="399" t="s">
        <v>83</v>
      </c>
      <c r="B1" s="108" t="s">
        <v>84</v>
      </c>
      <c r="C1" s="114" t="s">
        <v>85</v>
      </c>
      <c r="D1" s="114" t="s">
        <v>86</v>
      </c>
      <c r="E1" s="115" t="s">
        <v>89</v>
      </c>
      <c r="F1" s="399" t="s">
        <v>87</v>
      </c>
      <c r="G1" s="108" t="s">
        <v>84</v>
      </c>
      <c r="H1" s="114" t="s">
        <v>85</v>
      </c>
      <c r="I1" s="114" t="s">
        <v>86</v>
      </c>
      <c r="J1" s="115" t="s">
        <v>89</v>
      </c>
      <c r="K1" s="399" t="s">
        <v>88</v>
      </c>
      <c r="L1" s="108" t="s">
        <v>84</v>
      </c>
      <c r="M1" s="114" t="s">
        <v>85</v>
      </c>
      <c r="N1" s="114" t="s">
        <v>86</v>
      </c>
      <c r="O1" s="115" t="s">
        <v>89</v>
      </c>
      <c r="P1" s="397" t="s">
        <v>90</v>
      </c>
      <c r="Q1" s="108" t="s">
        <v>84</v>
      </c>
      <c r="R1" s="114" t="s">
        <v>85</v>
      </c>
      <c r="S1" s="114" t="s">
        <v>86</v>
      </c>
      <c r="T1" s="115" t="s">
        <v>89</v>
      </c>
      <c r="U1" s="402" t="s">
        <v>129</v>
      </c>
      <c r="V1" s="108" t="s">
        <v>84</v>
      </c>
      <c r="W1" s="114" t="s">
        <v>85</v>
      </c>
      <c r="X1" s="114" t="s">
        <v>86</v>
      </c>
      <c r="Y1" s="115" t="s">
        <v>89</v>
      </c>
      <c r="Z1" s="396" t="s">
        <v>128</v>
      </c>
      <c r="AA1" s="108" t="s">
        <v>84</v>
      </c>
      <c r="AB1" s="114" t="s">
        <v>85</v>
      </c>
      <c r="AC1" s="114" t="s">
        <v>86</v>
      </c>
      <c r="AD1" s="115" t="s">
        <v>89</v>
      </c>
    </row>
    <row r="2" spans="1:30" ht="26.25" customHeight="1">
      <c r="A2" s="400"/>
      <c r="B2" s="109">
        <v>46143</v>
      </c>
      <c r="C2" s="110">
        <v>49525</v>
      </c>
      <c r="D2" s="110">
        <v>46100</v>
      </c>
      <c r="E2" s="110"/>
      <c r="F2" s="400"/>
      <c r="G2" s="109">
        <v>46143</v>
      </c>
      <c r="H2" s="111">
        <v>0.21180555555555555</v>
      </c>
      <c r="I2" s="111">
        <v>0.22222222222222221</v>
      </c>
      <c r="J2" s="111"/>
      <c r="K2" s="400"/>
      <c r="L2" s="109">
        <v>46143</v>
      </c>
      <c r="M2" s="112">
        <v>0.4236111111111111</v>
      </c>
      <c r="N2" s="112">
        <v>0.44444444444444442</v>
      </c>
      <c r="O2" s="112"/>
      <c r="P2" s="397"/>
      <c r="Q2" s="109">
        <v>46143</v>
      </c>
      <c r="R2" s="112">
        <v>6.9444444444444434E-2</v>
      </c>
      <c r="S2" s="112">
        <v>8.5416666666666655E-2</v>
      </c>
      <c r="T2" s="112"/>
      <c r="U2" s="402"/>
      <c r="V2" s="109">
        <v>46143</v>
      </c>
      <c r="W2" s="177">
        <v>22</v>
      </c>
      <c r="X2" s="177">
        <v>21</v>
      </c>
      <c r="Y2" s="177"/>
      <c r="Z2" s="396"/>
      <c r="AA2" s="109">
        <v>46143</v>
      </c>
      <c r="AB2" s="177">
        <v>4</v>
      </c>
      <c r="AC2" s="177">
        <v>0</v>
      </c>
      <c r="AD2" s="177"/>
    </row>
    <row r="3" spans="1:30" ht="26.25" customHeight="1">
      <c r="A3" s="400"/>
      <c r="B3" s="109">
        <v>46144</v>
      </c>
      <c r="C3" s="110"/>
      <c r="D3" s="110"/>
      <c r="E3" s="110">
        <v>74200</v>
      </c>
      <c r="F3" s="400"/>
      <c r="G3" s="109">
        <v>46144</v>
      </c>
      <c r="H3" s="111"/>
      <c r="I3" s="111"/>
      <c r="J3" s="111">
        <v>0.22361111111111109</v>
      </c>
      <c r="K3" s="400"/>
      <c r="L3" s="109">
        <v>46144</v>
      </c>
      <c r="M3" s="112"/>
      <c r="N3" s="112"/>
      <c r="O3" s="112">
        <v>0.67083333333333339</v>
      </c>
      <c r="P3" s="397"/>
      <c r="Q3" s="109">
        <v>46144</v>
      </c>
      <c r="R3" s="112"/>
      <c r="S3" s="112"/>
      <c r="T3" s="112">
        <v>7.9166666666666663E-2</v>
      </c>
      <c r="U3" s="402"/>
      <c r="V3" s="109">
        <v>46144</v>
      </c>
      <c r="W3" s="177"/>
      <c r="X3" s="177"/>
      <c r="Y3" s="177">
        <v>35</v>
      </c>
      <c r="Z3" s="396"/>
      <c r="AA3" s="109">
        <v>46144</v>
      </c>
      <c r="AB3" s="177"/>
      <c r="AC3" s="177"/>
      <c r="AD3" s="177">
        <v>1</v>
      </c>
    </row>
    <row r="4" spans="1:30" ht="26.25" customHeight="1">
      <c r="A4" s="400"/>
      <c r="B4" s="109">
        <v>46145</v>
      </c>
      <c r="C4" s="110"/>
      <c r="D4" s="110"/>
      <c r="E4" s="110">
        <v>56950</v>
      </c>
      <c r="F4" s="400"/>
      <c r="G4" s="109">
        <v>46145</v>
      </c>
      <c r="H4" s="111"/>
      <c r="I4" s="111"/>
      <c r="J4" s="111">
        <v>0.17430555555555557</v>
      </c>
      <c r="K4" s="400"/>
      <c r="L4" s="109">
        <v>46145</v>
      </c>
      <c r="M4" s="112"/>
      <c r="N4" s="112"/>
      <c r="O4" s="112">
        <v>0.52361111111111114</v>
      </c>
      <c r="P4" s="397"/>
      <c r="Q4" s="109">
        <v>46145</v>
      </c>
      <c r="R4" s="112"/>
      <c r="S4" s="112"/>
      <c r="T4" s="112">
        <v>8.3333333333333329E-2</v>
      </c>
      <c r="U4" s="402"/>
      <c r="V4" s="109">
        <v>46145</v>
      </c>
      <c r="W4" s="177"/>
      <c r="X4" s="177"/>
      <c r="Y4" s="177">
        <v>24</v>
      </c>
      <c r="Z4" s="396"/>
      <c r="AA4" s="109">
        <v>46145</v>
      </c>
      <c r="AB4" s="177"/>
      <c r="AC4" s="177"/>
      <c r="AD4" s="177">
        <v>5</v>
      </c>
    </row>
    <row r="5" spans="1:30" ht="26.25" customHeight="1">
      <c r="A5" s="400"/>
      <c r="B5" s="109">
        <v>46146</v>
      </c>
      <c r="C5" s="110"/>
      <c r="D5" s="110"/>
      <c r="E5" s="110"/>
      <c r="F5" s="400"/>
      <c r="G5" s="109">
        <v>46146</v>
      </c>
      <c r="H5" s="111"/>
      <c r="I5" s="111"/>
      <c r="J5" s="111"/>
      <c r="K5" s="400"/>
      <c r="L5" s="109">
        <v>46146</v>
      </c>
      <c r="M5" s="112"/>
      <c r="N5" s="112"/>
      <c r="O5" s="112"/>
      <c r="P5" s="397"/>
      <c r="Q5" s="109">
        <v>46146</v>
      </c>
      <c r="R5" s="112"/>
      <c r="S5" s="112"/>
      <c r="T5" s="112"/>
      <c r="U5" s="402"/>
      <c r="V5" s="109">
        <v>46146</v>
      </c>
      <c r="W5" s="177"/>
      <c r="X5" s="177"/>
      <c r="Y5" s="177"/>
      <c r="Z5" s="396"/>
      <c r="AA5" s="109">
        <v>46146</v>
      </c>
      <c r="AB5" s="177"/>
      <c r="AC5" s="177"/>
      <c r="AD5" s="177"/>
    </row>
    <row r="6" spans="1:30" ht="26.25" customHeight="1">
      <c r="A6" s="400"/>
      <c r="B6" s="109">
        <v>46147</v>
      </c>
      <c r="C6" s="110"/>
      <c r="D6" s="110"/>
      <c r="E6" s="110"/>
      <c r="F6" s="400"/>
      <c r="G6" s="109">
        <v>46147</v>
      </c>
      <c r="H6" s="111"/>
      <c r="I6" s="111"/>
      <c r="J6" s="111"/>
      <c r="K6" s="400"/>
      <c r="L6" s="109">
        <v>46147</v>
      </c>
      <c r="M6" s="112"/>
      <c r="N6" s="112"/>
      <c r="O6" s="112"/>
      <c r="P6" s="397"/>
      <c r="Q6" s="109">
        <v>46147</v>
      </c>
      <c r="R6" s="112"/>
      <c r="S6" s="112"/>
      <c r="T6" s="112"/>
      <c r="U6" s="402"/>
      <c r="V6" s="109">
        <v>46147</v>
      </c>
      <c r="W6" s="177"/>
      <c r="X6" s="177"/>
      <c r="Y6" s="177"/>
      <c r="Z6" s="396"/>
      <c r="AA6" s="109">
        <v>46147</v>
      </c>
      <c r="AB6" s="177"/>
      <c r="AC6" s="177"/>
      <c r="AD6" s="177"/>
    </row>
    <row r="7" spans="1:30" ht="26.25" customHeight="1">
      <c r="A7" s="400"/>
      <c r="B7" s="109">
        <v>46148</v>
      </c>
      <c r="C7" s="110"/>
      <c r="D7" s="110"/>
      <c r="E7" s="110"/>
      <c r="F7" s="400"/>
      <c r="G7" s="109">
        <v>46148</v>
      </c>
      <c r="H7" s="111"/>
      <c r="I7" s="111"/>
      <c r="J7" s="111"/>
      <c r="K7" s="400"/>
      <c r="L7" s="109">
        <v>46148</v>
      </c>
      <c r="M7" s="112"/>
      <c r="N7" s="112"/>
      <c r="O7" s="112"/>
      <c r="P7" s="397"/>
      <c r="Q7" s="109">
        <v>46148</v>
      </c>
      <c r="R7" s="112"/>
      <c r="S7" s="112"/>
      <c r="T7" s="112"/>
      <c r="U7" s="402"/>
      <c r="V7" s="109">
        <v>46148</v>
      </c>
      <c r="W7" s="177"/>
      <c r="X7" s="177"/>
      <c r="Y7" s="177"/>
      <c r="Z7" s="396"/>
      <c r="AA7" s="109">
        <v>46148</v>
      </c>
      <c r="AB7" s="177"/>
      <c r="AC7" s="177"/>
      <c r="AD7" s="177"/>
    </row>
    <row r="8" spans="1:30" ht="26.25" customHeight="1">
      <c r="A8" s="400"/>
      <c r="B8" s="109">
        <v>46149</v>
      </c>
      <c r="C8" s="110"/>
      <c r="D8" s="110"/>
      <c r="E8" s="110"/>
      <c r="F8" s="400"/>
      <c r="G8" s="109">
        <v>46149</v>
      </c>
      <c r="H8" s="111"/>
      <c r="I8" s="111"/>
      <c r="J8" s="111"/>
      <c r="K8" s="400"/>
      <c r="L8" s="109">
        <v>46149</v>
      </c>
      <c r="M8" s="112"/>
      <c r="N8" s="112"/>
      <c r="O8" s="112"/>
      <c r="P8" s="397"/>
      <c r="Q8" s="109">
        <v>46149</v>
      </c>
      <c r="R8" s="112"/>
      <c r="S8" s="112"/>
      <c r="T8" s="112"/>
      <c r="U8" s="402"/>
      <c r="V8" s="109">
        <v>46149</v>
      </c>
      <c r="W8" s="177"/>
      <c r="X8" s="177"/>
      <c r="Y8" s="177"/>
      <c r="Z8" s="396"/>
      <c r="AA8" s="109">
        <v>46149</v>
      </c>
      <c r="AB8" s="177"/>
      <c r="AC8" s="177"/>
      <c r="AD8" s="177"/>
    </row>
    <row r="9" spans="1:30" ht="26.25" customHeight="1">
      <c r="A9" s="400"/>
      <c r="B9" s="109">
        <v>46150</v>
      </c>
      <c r="C9" s="110"/>
      <c r="D9" s="110"/>
      <c r="E9" s="110"/>
      <c r="F9" s="400"/>
      <c r="G9" s="109">
        <v>46150</v>
      </c>
      <c r="H9" s="111"/>
      <c r="I9" s="111"/>
      <c r="J9" s="111"/>
      <c r="K9" s="400"/>
      <c r="L9" s="109">
        <v>46150</v>
      </c>
      <c r="M9" s="112"/>
      <c r="N9" s="112"/>
      <c r="O9" s="112"/>
      <c r="P9" s="397"/>
      <c r="Q9" s="109">
        <v>46150</v>
      </c>
      <c r="R9" s="112"/>
      <c r="S9" s="112"/>
      <c r="T9" s="112"/>
      <c r="U9" s="402"/>
      <c r="V9" s="109">
        <v>46150</v>
      </c>
      <c r="W9" s="177"/>
      <c r="X9" s="177"/>
      <c r="Y9" s="177"/>
      <c r="Z9" s="396"/>
      <c r="AA9" s="109">
        <v>46150</v>
      </c>
      <c r="AB9" s="177"/>
      <c r="AC9" s="177"/>
      <c r="AD9" s="177"/>
    </row>
    <row r="10" spans="1:30" ht="26.25" customHeight="1">
      <c r="A10" s="400"/>
      <c r="B10" s="109">
        <v>46151</v>
      </c>
      <c r="C10" s="110"/>
      <c r="D10" s="110"/>
      <c r="E10" s="110"/>
      <c r="F10" s="400"/>
      <c r="G10" s="109">
        <v>46151</v>
      </c>
      <c r="H10" s="111"/>
      <c r="I10" s="111"/>
      <c r="J10" s="111"/>
      <c r="K10" s="400"/>
      <c r="L10" s="109">
        <v>46151</v>
      </c>
      <c r="M10" s="112"/>
      <c r="N10" s="112"/>
      <c r="O10" s="112"/>
      <c r="P10" s="397"/>
      <c r="Q10" s="109">
        <v>46151</v>
      </c>
      <c r="R10" s="112"/>
      <c r="S10" s="112"/>
      <c r="T10" s="112"/>
      <c r="U10" s="402"/>
      <c r="V10" s="109">
        <v>46151</v>
      </c>
      <c r="W10" s="177"/>
      <c r="X10" s="177"/>
      <c r="Y10" s="177"/>
      <c r="Z10" s="396"/>
      <c r="AA10" s="109">
        <v>46151</v>
      </c>
      <c r="AB10" s="177"/>
      <c r="AC10" s="177"/>
      <c r="AD10" s="177"/>
    </row>
    <row r="11" spans="1:30" ht="26.25" customHeight="1">
      <c r="A11" s="400"/>
      <c r="B11" s="109">
        <v>46152</v>
      </c>
      <c r="C11" s="110"/>
      <c r="D11" s="110"/>
      <c r="E11" s="110"/>
      <c r="F11" s="400"/>
      <c r="G11" s="109">
        <v>46152</v>
      </c>
      <c r="H11" s="111"/>
      <c r="I11" s="111"/>
      <c r="J11" s="111"/>
      <c r="K11" s="400"/>
      <c r="L11" s="109">
        <v>46152</v>
      </c>
      <c r="M11" s="112"/>
      <c r="N11" s="112"/>
      <c r="O11" s="112"/>
      <c r="P11" s="397"/>
      <c r="Q11" s="109">
        <v>46152</v>
      </c>
      <c r="R11" s="112"/>
      <c r="S11" s="112"/>
      <c r="T11" s="112"/>
      <c r="U11" s="402"/>
      <c r="V11" s="109">
        <v>46152</v>
      </c>
      <c r="W11" s="177"/>
      <c r="X11" s="177"/>
      <c r="Y11" s="177"/>
      <c r="Z11" s="396"/>
      <c r="AA11" s="109">
        <v>46152</v>
      </c>
      <c r="AB11" s="177"/>
      <c r="AC11" s="177"/>
      <c r="AD11" s="177"/>
    </row>
    <row r="12" spans="1:30" ht="26.25" customHeight="1">
      <c r="A12" s="400"/>
      <c r="B12" s="109">
        <v>46153</v>
      </c>
      <c r="C12" s="110"/>
      <c r="D12" s="110"/>
      <c r="E12" s="110"/>
      <c r="F12" s="400"/>
      <c r="G12" s="109">
        <v>46153</v>
      </c>
      <c r="H12" s="111"/>
      <c r="I12" s="111"/>
      <c r="J12" s="111"/>
      <c r="K12" s="400"/>
      <c r="L12" s="109">
        <v>46153</v>
      </c>
      <c r="M12" s="112"/>
      <c r="N12" s="112"/>
      <c r="O12" s="112"/>
      <c r="P12" s="397"/>
      <c r="Q12" s="109">
        <v>46153</v>
      </c>
      <c r="R12" s="112"/>
      <c r="S12" s="112"/>
      <c r="T12" s="112"/>
      <c r="U12" s="402"/>
      <c r="V12" s="109">
        <v>46153</v>
      </c>
      <c r="W12" s="177"/>
      <c r="X12" s="177"/>
      <c r="Y12" s="177"/>
      <c r="Z12" s="396"/>
      <c r="AA12" s="109">
        <v>46153</v>
      </c>
      <c r="AB12" s="177"/>
      <c r="AC12" s="177"/>
      <c r="AD12" s="177"/>
    </row>
    <row r="13" spans="1:30" ht="26.25" customHeight="1">
      <c r="A13" s="400"/>
      <c r="B13" s="109">
        <v>46154</v>
      </c>
      <c r="C13" s="110"/>
      <c r="D13" s="110"/>
      <c r="E13" s="110"/>
      <c r="F13" s="400"/>
      <c r="G13" s="109">
        <v>46154</v>
      </c>
      <c r="H13" s="111"/>
      <c r="I13" s="111"/>
      <c r="J13" s="111"/>
      <c r="K13" s="400"/>
      <c r="L13" s="109">
        <v>46154</v>
      </c>
      <c r="M13" s="112"/>
      <c r="N13" s="112"/>
      <c r="O13" s="112"/>
      <c r="P13" s="397"/>
      <c r="Q13" s="109">
        <v>46154</v>
      </c>
      <c r="R13" s="112"/>
      <c r="S13" s="112"/>
      <c r="T13" s="112"/>
      <c r="U13" s="402"/>
      <c r="V13" s="109">
        <v>46154</v>
      </c>
      <c r="W13" s="177"/>
      <c r="X13" s="177"/>
      <c r="Y13" s="177"/>
      <c r="Z13" s="396"/>
      <c r="AA13" s="109">
        <v>46154</v>
      </c>
      <c r="AB13" s="177"/>
      <c r="AC13" s="177"/>
      <c r="AD13" s="177"/>
    </row>
    <row r="14" spans="1:30" ht="26.25" customHeight="1">
      <c r="A14" s="400"/>
      <c r="B14" s="109">
        <v>46155</v>
      </c>
      <c r="C14" s="110"/>
      <c r="D14" s="110"/>
      <c r="E14" s="110"/>
      <c r="F14" s="400"/>
      <c r="G14" s="109">
        <v>46155</v>
      </c>
      <c r="H14" s="111"/>
      <c r="I14" s="111"/>
      <c r="J14" s="111"/>
      <c r="K14" s="400"/>
      <c r="L14" s="109">
        <v>46155</v>
      </c>
      <c r="M14" s="112"/>
      <c r="N14" s="112"/>
      <c r="O14" s="112"/>
      <c r="P14" s="397"/>
      <c r="Q14" s="109">
        <v>46155</v>
      </c>
      <c r="R14" s="112"/>
      <c r="S14" s="112"/>
      <c r="T14" s="112"/>
      <c r="U14" s="402"/>
      <c r="V14" s="109">
        <v>46155</v>
      </c>
      <c r="W14" s="177"/>
      <c r="X14" s="177"/>
      <c r="Y14" s="177"/>
      <c r="Z14" s="396"/>
      <c r="AA14" s="109">
        <v>46155</v>
      </c>
      <c r="AB14" s="177"/>
      <c r="AC14" s="177"/>
      <c r="AD14" s="177"/>
    </row>
    <row r="15" spans="1:30" ht="26.25" customHeight="1">
      <c r="A15" s="400"/>
      <c r="B15" s="109">
        <v>46156</v>
      </c>
      <c r="C15" s="110"/>
      <c r="D15" s="110"/>
      <c r="E15" s="110"/>
      <c r="F15" s="400"/>
      <c r="G15" s="109">
        <v>46156</v>
      </c>
      <c r="H15" s="111"/>
      <c r="I15" s="111"/>
      <c r="J15" s="111"/>
      <c r="K15" s="400"/>
      <c r="L15" s="109">
        <v>46156</v>
      </c>
      <c r="M15" s="112"/>
      <c r="N15" s="112"/>
      <c r="O15" s="112"/>
      <c r="P15" s="397"/>
      <c r="Q15" s="109">
        <v>46156</v>
      </c>
      <c r="R15" s="112"/>
      <c r="S15" s="112"/>
      <c r="T15" s="112"/>
      <c r="U15" s="402"/>
      <c r="V15" s="109">
        <v>46156</v>
      </c>
      <c r="W15" s="177"/>
      <c r="X15" s="177"/>
      <c r="Y15" s="177"/>
      <c r="Z15" s="396"/>
      <c r="AA15" s="109">
        <v>46156</v>
      </c>
      <c r="AB15" s="177"/>
      <c r="AC15" s="177"/>
      <c r="AD15" s="177"/>
    </row>
    <row r="16" spans="1:30" ht="26.25" customHeight="1">
      <c r="A16" s="400"/>
      <c r="B16" s="109">
        <v>46157</v>
      </c>
      <c r="C16" s="110"/>
      <c r="D16" s="110"/>
      <c r="E16" s="110"/>
      <c r="F16" s="400"/>
      <c r="G16" s="109">
        <v>46157</v>
      </c>
      <c r="H16" s="111"/>
      <c r="I16" s="111"/>
      <c r="J16" s="111"/>
      <c r="K16" s="400"/>
      <c r="L16" s="109">
        <v>46157</v>
      </c>
      <c r="M16" s="112"/>
      <c r="N16" s="112"/>
      <c r="O16" s="112"/>
      <c r="P16" s="397"/>
      <c r="Q16" s="109">
        <v>46157</v>
      </c>
      <c r="R16" s="112"/>
      <c r="S16" s="112"/>
      <c r="T16" s="112"/>
      <c r="U16" s="402"/>
      <c r="V16" s="109">
        <v>46157</v>
      </c>
      <c r="W16" s="177"/>
      <c r="X16" s="177"/>
      <c r="Y16" s="177"/>
      <c r="Z16" s="396"/>
      <c r="AA16" s="109">
        <v>46157</v>
      </c>
      <c r="AB16" s="177"/>
      <c r="AC16" s="177"/>
      <c r="AD16" s="177"/>
    </row>
    <row r="17" spans="1:30" ht="26.25" customHeight="1">
      <c r="A17" s="400"/>
      <c r="B17" s="109">
        <v>46158</v>
      </c>
      <c r="C17" s="110"/>
      <c r="D17" s="110"/>
      <c r="E17" s="110"/>
      <c r="F17" s="400"/>
      <c r="G17" s="109">
        <v>46158</v>
      </c>
      <c r="H17" s="111"/>
      <c r="I17" s="111"/>
      <c r="J17" s="111"/>
      <c r="K17" s="400"/>
      <c r="L17" s="109">
        <v>46158</v>
      </c>
      <c r="M17" s="112"/>
      <c r="N17" s="112"/>
      <c r="O17" s="112"/>
      <c r="P17" s="397"/>
      <c r="Q17" s="109">
        <v>46158</v>
      </c>
      <c r="R17" s="112"/>
      <c r="S17" s="112"/>
      <c r="T17" s="112"/>
      <c r="U17" s="402"/>
      <c r="V17" s="109">
        <v>46158</v>
      </c>
      <c r="W17" s="177"/>
      <c r="X17" s="177"/>
      <c r="Y17" s="177"/>
      <c r="Z17" s="396"/>
      <c r="AA17" s="109">
        <v>46158</v>
      </c>
      <c r="AB17" s="177"/>
      <c r="AC17" s="177"/>
      <c r="AD17" s="177"/>
    </row>
    <row r="18" spans="1:30" ht="26.25" customHeight="1">
      <c r="A18" s="400"/>
      <c r="B18" s="109">
        <v>46159</v>
      </c>
      <c r="C18" s="159"/>
      <c r="D18" s="159"/>
      <c r="E18" s="159"/>
      <c r="F18" s="400"/>
      <c r="G18" s="109">
        <v>46159</v>
      </c>
      <c r="H18" s="111"/>
      <c r="I18" s="111"/>
      <c r="J18" s="111"/>
      <c r="K18" s="400"/>
      <c r="L18" s="109">
        <v>46159</v>
      </c>
      <c r="M18" s="112"/>
      <c r="N18" s="112"/>
      <c r="O18" s="112"/>
      <c r="P18" s="397"/>
      <c r="Q18" s="109">
        <v>46159</v>
      </c>
      <c r="R18" s="112"/>
      <c r="S18" s="112"/>
      <c r="T18" s="112"/>
      <c r="U18" s="402"/>
      <c r="V18" s="109">
        <v>46159</v>
      </c>
      <c r="W18" s="177"/>
      <c r="X18" s="177"/>
      <c r="Y18" s="177"/>
      <c r="Z18" s="396"/>
      <c r="AA18" s="109">
        <v>46159</v>
      </c>
      <c r="AB18" s="177"/>
      <c r="AC18" s="177"/>
      <c r="AD18" s="177"/>
    </row>
    <row r="19" spans="1:30" ht="26.25" customHeight="1">
      <c r="A19" s="400"/>
      <c r="B19" s="109">
        <v>46160</v>
      </c>
      <c r="C19" s="159"/>
      <c r="D19" s="159"/>
      <c r="E19" s="159"/>
      <c r="F19" s="400"/>
      <c r="G19" s="109">
        <v>46160</v>
      </c>
      <c r="H19" s="160"/>
      <c r="I19" s="160"/>
      <c r="J19" s="160"/>
      <c r="K19" s="400"/>
      <c r="L19" s="109">
        <v>46160</v>
      </c>
      <c r="M19" s="161"/>
      <c r="N19" s="161"/>
      <c r="O19" s="161"/>
      <c r="P19" s="397"/>
      <c r="Q19" s="109">
        <v>46160</v>
      </c>
      <c r="R19" s="161"/>
      <c r="S19" s="161"/>
      <c r="T19" s="161"/>
      <c r="U19" s="402"/>
      <c r="V19" s="109">
        <v>46160</v>
      </c>
      <c r="W19" s="178"/>
      <c r="X19" s="178"/>
      <c r="Y19" s="178"/>
      <c r="Z19" s="396"/>
      <c r="AA19" s="109">
        <v>46160</v>
      </c>
      <c r="AB19" s="178"/>
      <c r="AC19" s="178"/>
      <c r="AD19" s="178"/>
    </row>
    <row r="20" spans="1:30" ht="26.25" customHeight="1">
      <c r="A20" s="400"/>
      <c r="B20" s="109">
        <v>46161</v>
      </c>
      <c r="C20" s="159"/>
      <c r="D20" s="159"/>
      <c r="E20" s="159"/>
      <c r="F20" s="400"/>
      <c r="G20" s="109">
        <v>46161</v>
      </c>
      <c r="H20" s="160"/>
      <c r="I20" s="160"/>
      <c r="J20" s="160"/>
      <c r="K20" s="400"/>
      <c r="L20" s="109">
        <v>46161</v>
      </c>
      <c r="M20" s="161"/>
      <c r="N20" s="161"/>
      <c r="O20" s="161"/>
      <c r="P20" s="397"/>
      <c r="Q20" s="109">
        <v>46161</v>
      </c>
      <c r="R20" s="161"/>
      <c r="S20" s="161"/>
      <c r="T20" s="161"/>
      <c r="U20" s="402"/>
      <c r="V20" s="109">
        <v>46161</v>
      </c>
      <c r="W20" s="178"/>
      <c r="X20" s="178"/>
      <c r="Y20" s="178"/>
      <c r="Z20" s="396"/>
      <c r="AA20" s="109">
        <v>46161</v>
      </c>
      <c r="AB20" s="178"/>
      <c r="AC20" s="178"/>
      <c r="AD20" s="178"/>
    </row>
    <row r="21" spans="1:30" ht="26.25" customHeight="1">
      <c r="A21" s="400"/>
      <c r="B21" s="109">
        <v>46162</v>
      </c>
      <c r="C21" s="159"/>
      <c r="D21" s="159"/>
      <c r="E21" s="159"/>
      <c r="F21" s="400"/>
      <c r="G21" s="109">
        <v>46162</v>
      </c>
      <c r="H21" s="111"/>
      <c r="I21" s="111"/>
      <c r="J21" s="111"/>
      <c r="K21" s="400"/>
      <c r="L21" s="109">
        <v>46162</v>
      </c>
      <c r="M21" s="112"/>
      <c r="N21" s="112"/>
      <c r="O21" s="112"/>
      <c r="P21" s="397"/>
      <c r="Q21" s="109">
        <v>46162</v>
      </c>
      <c r="R21" s="161"/>
      <c r="S21" s="161"/>
      <c r="T21" s="161"/>
      <c r="U21" s="402"/>
      <c r="V21" s="109">
        <v>46162</v>
      </c>
      <c r="W21" s="178"/>
      <c r="X21" s="178"/>
      <c r="Y21" s="178"/>
      <c r="Z21" s="396"/>
      <c r="AA21" s="109">
        <v>46162</v>
      </c>
      <c r="AB21" s="178"/>
      <c r="AC21" s="178"/>
      <c r="AD21" s="178"/>
    </row>
    <row r="22" spans="1:30" ht="26.25" customHeight="1">
      <c r="A22" s="400"/>
      <c r="B22" s="109">
        <v>46163</v>
      </c>
      <c r="C22" s="159"/>
      <c r="D22" s="159"/>
      <c r="E22" s="159"/>
      <c r="F22" s="400"/>
      <c r="G22" s="109">
        <v>46163</v>
      </c>
      <c r="H22" s="160"/>
      <c r="I22" s="160"/>
      <c r="J22" s="160"/>
      <c r="K22" s="400"/>
      <c r="L22" s="109">
        <v>46163</v>
      </c>
      <c r="M22" s="161"/>
      <c r="N22" s="161"/>
      <c r="O22" s="161"/>
      <c r="P22" s="397"/>
      <c r="Q22" s="109">
        <v>46163</v>
      </c>
      <c r="R22" s="161"/>
      <c r="S22" s="161"/>
      <c r="T22" s="161"/>
      <c r="U22" s="402"/>
      <c r="V22" s="109">
        <v>46163</v>
      </c>
      <c r="W22" s="178"/>
      <c r="X22" s="178"/>
      <c r="Y22" s="178"/>
      <c r="Z22" s="396"/>
      <c r="AA22" s="109">
        <v>46163</v>
      </c>
      <c r="AB22" s="178"/>
      <c r="AC22" s="178"/>
      <c r="AD22" s="178"/>
    </row>
    <row r="23" spans="1:30" ht="26.25" customHeight="1">
      <c r="A23" s="400"/>
      <c r="B23" s="109">
        <v>46164</v>
      </c>
      <c r="C23" s="159"/>
      <c r="D23" s="159"/>
      <c r="E23" s="159"/>
      <c r="F23" s="400"/>
      <c r="G23" s="109">
        <v>46164</v>
      </c>
      <c r="H23" s="160"/>
      <c r="I23" s="160"/>
      <c r="J23" s="160"/>
      <c r="K23" s="400"/>
      <c r="L23" s="109">
        <v>46164</v>
      </c>
      <c r="M23" s="161"/>
      <c r="N23" s="161"/>
      <c r="O23" s="161"/>
      <c r="P23" s="397"/>
      <c r="Q23" s="109">
        <v>46164</v>
      </c>
      <c r="R23" s="161"/>
      <c r="S23" s="161"/>
      <c r="T23" s="161"/>
      <c r="U23" s="402"/>
      <c r="V23" s="109">
        <v>46164</v>
      </c>
      <c r="W23" s="178"/>
      <c r="X23" s="178"/>
      <c r="Y23" s="178"/>
      <c r="Z23" s="396"/>
      <c r="AA23" s="109">
        <v>46164</v>
      </c>
      <c r="AB23" s="178"/>
      <c r="AC23" s="178"/>
      <c r="AD23" s="178"/>
    </row>
    <row r="24" spans="1:30" ht="26.25" customHeight="1">
      <c r="A24" s="400"/>
      <c r="B24" s="109">
        <v>46165</v>
      </c>
      <c r="C24" s="159"/>
      <c r="D24" s="159"/>
      <c r="E24" s="159"/>
      <c r="F24" s="400"/>
      <c r="G24" s="109">
        <v>46165</v>
      </c>
      <c r="H24" s="111"/>
      <c r="I24" s="111"/>
      <c r="J24" s="111"/>
      <c r="K24" s="400"/>
      <c r="L24" s="109">
        <v>46165</v>
      </c>
      <c r="M24" s="112"/>
      <c r="N24" s="112"/>
      <c r="O24" s="112"/>
      <c r="P24" s="397"/>
      <c r="Q24" s="109">
        <v>46165</v>
      </c>
      <c r="R24" s="161"/>
      <c r="S24" s="161"/>
      <c r="T24" s="161"/>
      <c r="U24" s="402"/>
      <c r="V24" s="109">
        <v>46165</v>
      </c>
      <c r="W24" s="178"/>
      <c r="X24" s="178"/>
      <c r="Y24" s="178"/>
      <c r="Z24" s="396"/>
      <c r="AA24" s="109">
        <v>46165</v>
      </c>
      <c r="AB24" s="178"/>
      <c r="AC24" s="178"/>
      <c r="AD24" s="178"/>
    </row>
    <row r="25" spans="1:30" ht="26.25" customHeight="1">
      <c r="A25" s="400"/>
      <c r="B25" s="109">
        <v>46166</v>
      </c>
      <c r="C25" s="110"/>
      <c r="D25" s="110"/>
      <c r="E25" s="110"/>
      <c r="F25" s="400"/>
      <c r="G25" s="109">
        <v>46166</v>
      </c>
      <c r="H25" s="111"/>
      <c r="I25" s="111"/>
      <c r="J25" s="111"/>
      <c r="K25" s="400"/>
      <c r="L25" s="109">
        <v>46166</v>
      </c>
      <c r="M25" s="112"/>
      <c r="N25" s="112"/>
      <c r="O25" s="112"/>
      <c r="P25" s="397"/>
      <c r="Q25" s="109">
        <v>46166</v>
      </c>
      <c r="R25" s="112"/>
      <c r="S25" s="112"/>
      <c r="T25" s="112"/>
      <c r="U25" s="402"/>
      <c r="V25" s="109">
        <v>46166</v>
      </c>
      <c r="W25" s="177"/>
      <c r="X25" s="177"/>
      <c r="Y25" s="177"/>
      <c r="Z25" s="396"/>
      <c r="AA25" s="109">
        <v>46166</v>
      </c>
      <c r="AB25" s="177"/>
      <c r="AC25" s="177"/>
      <c r="AD25" s="177"/>
    </row>
    <row r="26" spans="1:30" ht="26.25" customHeight="1">
      <c r="A26" s="400"/>
      <c r="B26" s="109">
        <v>46167</v>
      </c>
      <c r="C26" s="110"/>
      <c r="D26" s="110"/>
      <c r="E26" s="110"/>
      <c r="F26" s="400"/>
      <c r="G26" s="109">
        <v>46167</v>
      </c>
      <c r="H26" s="111"/>
      <c r="I26" s="111"/>
      <c r="J26" s="111"/>
      <c r="K26" s="400"/>
      <c r="L26" s="109">
        <v>46167</v>
      </c>
      <c r="M26" s="112"/>
      <c r="N26" s="112"/>
      <c r="O26" s="112"/>
      <c r="P26" s="397"/>
      <c r="Q26" s="109">
        <v>46167</v>
      </c>
      <c r="R26" s="112"/>
      <c r="S26" s="112"/>
      <c r="T26" s="112"/>
      <c r="U26" s="402"/>
      <c r="V26" s="109">
        <v>46167</v>
      </c>
      <c r="W26" s="177"/>
      <c r="X26" s="177"/>
      <c r="Y26" s="177"/>
      <c r="Z26" s="396"/>
      <c r="AA26" s="109">
        <v>46167</v>
      </c>
      <c r="AB26" s="177"/>
      <c r="AC26" s="177"/>
      <c r="AD26" s="177"/>
    </row>
    <row r="27" spans="1:30" ht="26.25" customHeight="1">
      <c r="A27" s="400"/>
      <c r="B27" s="109">
        <v>46168</v>
      </c>
      <c r="C27" s="159"/>
      <c r="D27" s="159"/>
      <c r="E27" s="159"/>
      <c r="F27" s="400"/>
      <c r="G27" s="109">
        <v>46168</v>
      </c>
      <c r="H27" s="160"/>
      <c r="I27" s="160"/>
      <c r="J27" s="160"/>
      <c r="K27" s="400"/>
      <c r="L27" s="109">
        <v>46168</v>
      </c>
      <c r="M27" s="161"/>
      <c r="N27" s="161"/>
      <c r="O27" s="161"/>
      <c r="P27" s="397"/>
      <c r="Q27" s="109">
        <v>46168</v>
      </c>
      <c r="R27" s="161"/>
      <c r="S27" s="161"/>
      <c r="T27" s="161"/>
      <c r="U27" s="402"/>
      <c r="V27" s="109">
        <v>46168</v>
      </c>
      <c r="W27" s="178"/>
      <c r="X27" s="178"/>
      <c r="Y27" s="178"/>
      <c r="Z27" s="396"/>
      <c r="AA27" s="109">
        <v>46168</v>
      </c>
      <c r="AB27" s="178"/>
      <c r="AC27" s="178"/>
      <c r="AD27" s="178"/>
    </row>
    <row r="28" spans="1:30" ht="26.25" customHeight="1">
      <c r="A28" s="400"/>
      <c r="B28" s="109">
        <v>46169</v>
      </c>
      <c r="C28" s="159"/>
      <c r="D28" s="159"/>
      <c r="E28" s="159"/>
      <c r="F28" s="400"/>
      <c r="G28" s="109">
        <v>46169</v>
      </c>
      <c r="H28" s="160"/>
      <c r="I28" s="160"/>
      <c r="J28" s="160"/>
      <c r="K28" s="400"/>
      <c r="L28" s="109">
        <v>46169</v>
      </c>
      <c r="M28" s="161"/>
      <c r="N28" s="161"/>
      <c r="O28" s="161"/>
      <c r="P28" s="397"/>
      <c r="Q28" s="109">
        <v>46169</v>
      </c>
      <c r="R28" s="161"/>
      <c r="S28" s="161"/>
      <c r="T28" s="161"/>
      <c r="U28" s="402"/>
      <c r="V28" s="109">
        <v>46169</v>
      </c>
      <c r="W28" s="178"/>
      <c r="X28" s="178"/>
      <c r="Y28" s="178"/>
      <c r="Z28" s="396"/>
      <c r="AA28" s="109">
        <v>46169</v>
      </c>
      <c r="AB28" s="178"/>
      <c r="AC28" s="178"/>
      <c r="AD28" s="178"/>
    </row>
    <row r="29" spans="1:30" ht="26.25" customHeight="1">
      <c r="A29" s="400"/>
      <c r="B29" s="109">
        <v>46170</v>
      </c>
      <c r="C29" s="159"/>
      <c r="D29" s="159"/>
      <c r="E29" s="159"/>
      <c r="F29" s="400"/>
      <c r="G29" s="109">
        <v>46170</v>
      </c>
      <c r="H29" s="111"/>
      <c r="I29" s="111"/>
      <c r="J29" s="111"/>
      <c r="K29" s="400"/>
      <c r="L29" s="109">
        <v>46170</v>
      </c>
      <c r="M29" s="112"/>
      <c r="N29" s="112"/>
      <c r="O29" s="112"/>
      <c r="P29" s="397"/>
      <c r="Q29" s="109">
        <v>46170</v>
      </c>
      <c r="R29" s="161"/>
      <c r="S29" s="161"/>
      <c r="T29" s="161"/>
      <c r="U29" s="402"/>
      <c r="V29" s="109">
        <v>46170</v>
      </c>
      <c r="W29" s="178"/>
      <c r="X29" s="178"/>
      <c r="Y29" s="178"/>
      <c r="Z29" s="396"/>
      <c r="AA29" s="109">
        <v>46170</v>
      </c>
      <c r="AB29" s="178"/>
      <c r="AC29" s="178"/>
      <c r="AD29" s="178"/>
    </row>
    <row r="30" spans="1:30" ht="26.25" customHeight="1">
      <c r="A30" s="400"/>
      <c r="B30" s="109">
        <v>46171</v>
      </c>
      <c r="C30" s="159"/>
      <c r="D30" s="159"/>
      <c r="E30" s="159"/>
      <c r="F30" s="400"/>
      <c r="G30" s="109">
        <v>46171</v>
      </c>
      <c r="H30" s="111"/>
      <c r="I30" s="111"/>
      <c r="J30" s="111"/>
      <c r="K30" s="400"/>
      <c r="L30" s="109">
        <v>46171</v>
      </c>
      <c r="M30" s="112"/>
      <c r="N30" s="112"/>
      <c r="O30" s="112"/>
      <c r="P30" s="397"/>
      <c r="Q30" s="109">
        <v>46171</v>
      </c>
      <c r="R30" s="112"/>
      <c r="S30" s="112"/>
      <c r="T30" s="112"/>
      <c r="U30" s="402"/>
      <c r="V30" s="109">
        <v>46171</v>
      </c>
      <c r="W30" s="177"/>
      <c r="X30" s="177"/>
      <c r="Y30" s="177"/>
      <c r="Z30" s="396"/>
      <c r="AA30" s="109">
        <v>46171</v>
      </c>
      <c r="AB30" s="177"/>
      <c r="AC30" s="177"/>
      <c r="AD30" s="177"/>
    </row>
    <row r="31" spans="1:30" ht="26.25" customHeight="1">
      <c r="A31" s="400"/>
      <c r="B31" s="109">
        <v>46172</v>
      </c>
      <c r="C31" s="159"/>
      <c r="D31" s="176"/>
      <c r="E31" s="159"/>
      <c r="F31" s="400"/>
      <c r="G31" s="109">
        <v>46172</v>
      </c>
      <c r="H31" s="111"/>
      <c r="I31" s="111"/>
      <c r="J31" s="111"/>
      <c r="K31" s="400"/>
      <c r="L31" s="109">
        <v>46172</v>
      </c>
      <c r="M31" s="112"/>
      <c r="N31" s="112"/>
      <c r="O31" s="112"/>
      <c r="P31" s="397"/>
      <c r="Q31" s="109">
        <v>46172</v>
      </c>
      <c r="R31" s="112"/>
      <c r="S31" s="112"/>
      <c r="T31" s="112"/>
      <c r="U31" s="402"/>
      <c r="V31" s="109">
        <v>46172</v>
      </c>
      <c r="W31" s="177"/>
      <c r="X31" s="177"/>
      <c r="Y31" s="177"/>
      <c r="Z31" s="396"/>
      <c r="AA31" s="109">
        <v>46172</v>
      </c>
      <c r="AB31" s="177"/>
      <c r="AC31" s="177"/>
      <c r="AD31" s="177"/>
    </row>
    <row r="32" spans="1:30" ht="26.25" customHeight="1">
      <c r="A32" s="401"/>
      <c r="B32" s="109">
        <v>46173</v>
      </c>
      <c r="C32" s="110"/>
      <c r="D32" s="173"/>
      <c r="E32" s="163"/>
      <c r="F32" s="401"/>
      <c r="G32" s="109">
        <v>46173</v>
      </c>
      <c r="H32" s="111"/>
      <c r="I32" s="111"/>
      <c r="J32" s="111"/>
      <c r="K32" s="401"/>
      <c r="L32" s="109">
        <v>46173</v>
      </c>
      <c r="M32" s="112"/>
      <c r="N32" s="112"/>
      <c r="O32" s="112"/>
      <c r="P32" s="398"/>
      <c r="Q32" s="109">
        <v>46173</v>
      </c>
      <c r="R32" s="112"/>
      <c r="S32" s="112"/>
      <c r="T32" s="112"/>
      <c r="U32" s="402"/>
      <c r="V32" s="109">
        <v>46173</v>
      </c>
      <c r="W32" s="177"/>
      <c r="X32" s="177"/>
      <c r="Y32" s="177"/>
      <c r="Z32" s="396"/>
      <c r="AA32" s="109">
        <v>46173</v>
      </c>
      <c r="AB32" s="177"/>
      <c r="AC32" s="177"/>
      <c r="AD32" s="177"/>
    </row>
    <row r="33" spans="3:30" ht="26.25" customHeight="1">
      <c r="C33" s="153">
        <f>SUM(C2:C32)</f>
        <v>49525</v>
      </c>
      <c r="D33" s="153">
        <f>SUM(D2:D32)</f>
        <v>46100</v>
      </c>
      <c r="E33" s="153">
        <f>SUM(E2:E32)</f>
        <v>131150</v>
      </c>
      <c r="H33" s="154">
        <f>AVERAGE(H2:H32)</f>
        <v>0.21180555555555555</v>
      </c>
      <c r="I33" s="154">
        <f>AVERAGE(I2:I32)</f>
        <v>0.22222222222222221</v>
      </c>
      <c r="J33" s="154">
        <f>AVERAGE(J2:J32)</f>
        <v>0.19895833333333335</v>
      </c>
      <c r="M33" s="155">
        <f>SUM(M2:M32)</f>
        <v>0.4236111111111111</v>
      </c>
      <c r="N33" s="155">
        <f>SUM(N2:N32)</f>
        <v>0.44444444444444442</v>
      </c>
      <c r="O33" s="155">
        <f>SUM(O2:O32)</f>
        <v>1.1944444444444446</v>
      </c>
      <c r="R33" s="155">
        <f>SUM(R2:R32)</f>
        <v>6.9444444444444434E-2</v>
      </c>
      <c r="S33" s="155">
        <f>SUM(S2:S32)</f>
        <v>8.5416666666666655E-2</v>
      </c>
      <c r="T33" s="155">
        <f>SUM(T2:T32)</f>
        <v>0.16249999999999998</v>
      </c>
      <c r="U33" s="146"/>
      <c r="W33" s="179">
        <f>SUM(W2:W32)</f>
        <v>22</v>
      </c>
      <c r="X33" s="179">
        <f>SUM(X2:X32)</f>
        <v>21</v>
      </c>
      <c r="Y33" s="179">
        <f>SUM(Y2:Y32)</f>
        <v>59</v>
      </c>
      <c r="AB33" s="179">
        <f>SUM(AB2:AB32)</f>
        <v>4</v>
      </c>
      <c r="AC33" s="179">
        <f>SUM(AC2:AC32)</f>
        <v>0</v>
      </c>
      <c r="AD33" s="179">
        <f>SUM(AD2:AD32)</f>
        <v>6</v>
      </c>
    </row>
    <row r="34" spans="3:30" ht="26.25" customHeight="1">
      <c r="C34" s="153">
        <f>AVERAGE(C2:C32)</f>
        <v>49525</v>
      </c>
      <c r="D34" s="153">
        <f>AVERAGE(D2:D32)</f>
        <v>46100</v>
      </c>
      <c r="E34" s="153">
        <f>AVERAGE(E2:E32)</f>
        <v>65575</v>
      </c>
      <c r="R34" s="155">
        <f>AVERAGE(R2:R32)</f>
        <v>6.9444444444444434E-2</v>
      </c>
      <c r="S34" s="155">
        <f>AVERAGE(S2:S32)</f>
        <v>8.5416666666666655E-2</v>
      </c>
      <c r="T34" s="155">
        <f>AVERAGE(T2:T27)</f>
        <v>8.1249999999999989E-2</v>
      </c>
    </row>
    <row r="35" spans="3:30" ht="26.25" customHeight="1">
      <c r="D35" s="175"/>
      <c r="H35" s="166"/>
      <c r="I35" s="166"/>
      <c r="J35" s="166"/>
      <c r="M35" s="166"/>
    </row>
    <row r="36" spans="3:30" ht="26.25" customHeight="1">
      <c r="D36" s="162">
        <f>SUM(C33:E33)</f>
        <v>226775</v>
      </c>
      <c r="H36" s="166"/>
      <c r="I36" s="166"/>
      <c r="J36" s="166"/>
      <c r="M36" s="166"/>
    </row>
    <row r="37" spans="3:30" ht="26.25" customHeight="1">
      <c r="H37" s="166"/>
      <c r="I37" s="166"/>
      <c r="J37" s="166"/>
      <c r="M37" s="166"/>
    </row>
    <row r="38" spans="3:30" ht="26.25" customHeight="1">
      <c r="H38" s="166"/>
      <c r="I38" s="166"/>
      <c r="M38" s="166"/>
    </row>
    <row r="39" spans="3:30" ht="26.25" customHeight="1">
      <c r="H39" s="166"/>
      <c r="M39" s="166"/>
    </row>
    <row r="40" spans="3:30" ht="26.25" customHeight="1">
      <c r="H40" s="166"/>
    </row>
    <row r="55" spans="2:2" ht="26.25" customHeight="1">
      <c r="B55" s="113"/>
    </row>
  </sheetData>
  <mergeCells count="6">
    <mergeCell ref="Z1:Z32"/>
    <mergeCell ref="P1:P32"/>
    <mergeCell ref="K1:K32"/>
    <mergeCell ref="F1:F32"/>
    <mergeCell ref="A1:A32"/>
    <mergeCell ref="U1:U32"/>
  </mergeCells>
  <printOptions horizontalCentered="1"/>
  <pageMargins left="0.25" right="0.25" top="0.25" bottom="0.25" header="0" footer="0"/>
  <pageSetup paperSize="9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32</vt:i4>
      </vt:variant>
    </vt:vector>
  </HeadingPairs>
  <TitlesOfParts>
    <vt:vector size="64" baseType="lpstr">
      <vt:lpstr>31</vt:lpstr>
      <vt:lpstr>30</vt:lpstr>
      <vt:lpstr>29</vt:lpstr>
      <vt:lpstr>28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1</vt:lpstr>
      <vt:lpstr>کل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کل!Print_Area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Kerman Computer</dc:creator>
  <cp:lastModifiedBy>Kerman Computer</cp:lastModifiedBy>
  <cp:lastPrinted>2026-05-19T10:29:32Z</cp:lastPrinted>
  <dcterms:created xsi:type="dcterms:W3CDTF">2025-10-11T07:51:02Z</dcterms:created>
  <dcterms:modified xsi:type="dcterms:W3CDTF">2026-07-26T06:02:18Z</dcterms:modified>
</cp:coreProperties>
</file>